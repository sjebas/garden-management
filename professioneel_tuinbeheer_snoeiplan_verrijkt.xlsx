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Takenlijst" sheetId="2" state="visible" r:id="rId2"/>
    <sheet xmlns:r="http://schemas.openxmlformats.org/officeDocument/2006/relationships" name="Jaaroverzicht" sheetId="3" state="visible" r:id="rId3"/>
    <sheet xmlns:r="http://schemas.openxmlformats.org/officeDocument/2006/relationships" name="Plantregister" sheetId="4" state="visible" r:id="rId4"/>
    <sheet xmlns:r="http://schemas.openxmlformats.org/officeDocument/2006/relationships" name="Rapportage" sheetId="5" state="visible" r:id="rId5"/>
    <sheet xmlns:r="http://schemas.openxmlformats.org/officeDocument/2006/relationships" name="Lijsten" sheetId="6" state="visible" r:id="rId6"/>
  </sheets>
  <definedNames>
    <definedName name="Maanden">Lijsten!$A$2:$A$13</definedName>
    <definedName name="Categorieen">Lijsten!$B$2:$B$9</definedName>
    <definedName name="Prioriteiten">Lijsten!$C$2:$C$4</definedName>
    <definedName name="Statussen">Lijsten!$D$2:$D$4</definedName>
    <definedName name="DuurLijst">Lijsten!$E$2:$E$7</definedName>
    <definedName name="PlantenLijst">Plantregister!$A$5:$A$35</definedName>
  </definedNames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548235"/>
    </font>
    <font>
      <b val="1"/>
      <color rgb="00000000"/>
    </font>
    <font>
      <color rgb="000000FF"/>
    </font>
    <font>
      <b val="1"/>
      <color rgb="007F6000"/>
    </font>
    <font>
      <color rgb="00000000"/>
    </font>
    <font>
      <b val="1"/>
      <color rgb="00FFFFFF"/>
      <sz val="11"/>
    </font>
    <font>
      <b val="1"/>
      <color rgb="001F4E78"/>
    </font>
    <font>
      <b val="1"/>
      <color rgb="000000FF"/>
    </font>
    <font>
      <b val="1"/>
      <color rgb="001F4E78"/>
      <sz val="9"/>
    </font>
    <font>
      <b val="1"/>
      <color rgb="00000000"/>
      <sz val="14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AF4FB"/>
      </patternFill>
    </fill>
    <fill>
      <patternFill patternType="solid">
        <fgColor rgb="00DDEBF7"/>
      </patternFill>
    </fill>
    <fill>
      <patternFill patternType="solid">
        <fgColor rgb="00F9FBFD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C9C9C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5" borderId="0" pivotButton="0" quotePrefix="0" xfId="0"/>
    <xf numFmtId="0" fontId="7" fillId="0" borderId="0" applyAlignment="1" pivotButton="0" quotePrefix="0" xfId="0">
      <alignment horizontal="left"/>
    </xf>
    <xf numFmtId="0" fontId="11" fillId="6" borderId="0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3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/>
    </xf>
    <xf numFmtId="0" fontId="7" fillId="0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/>
  </cellStyles>
  <dxfs count="5">
    <dxf>
      <fill>
        <patternFill>
          <bgColor rgb="00E2F0D9"/>
        </patternFill>
      </fill>
    </dxf>
    <dxf>
      <fill>
        <patternFill>
          <bgColor rgb="00FCE4D6"/>
        </patternFill>
      </fill>
    </dxf>
    <dxf>
      <fill>
        <patternFill>
          <bgColor rgb="00EAF4FB"/>
        </patternFill>
      </fill>
    </dxf>
    <dxf>
      <fill>
        <patternFill>
          <bgColor rgb="00FDE9E7"/>
        </patternFill>
      </fill>
    </dxf>
    <dxf>
      <fill>
        <patternFill>
          <b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Tuintaken per maand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'Rapportage'!B4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'Rapportage'!$A$5:$A$16</f>
              <strCache>
                <ptCount val="0"/>
              </strCache>
            </strRef>
          </cat>
          <val>
            <numRef>
              <f>'Rapportage'!$B$5:$B$16</f>
              <numCache>
                <ptCount val="0"/>
              </numCache>
            </numRef>
          </val>
        </ser>
        <ser>
          <idx val="1"/>
          <order val="1"/>
          <tx>
            <strRef>
              <f>'Rapportage'!C4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'Rapportage'!$A$5:$A$16</f>
              <strCache>
                <ptCount val="0"/>
              </strCache>
            </strRef>
          </cat>
          <val>
            <numRef>
              <f>'Rapportage'!$C$5:$C$16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F4" authorId="0" shapeId="0">
      <text>
        <t>Omschrijf de handeling zo concreet mogelijk. Gebruik één taak per regel.</t>
      </text>
    </comment>
    <comment ref="K4" authorId="0" shapeId="0">
      <text>
        <t>Hulpkolom voor het dashboard. Niet aanpassen.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4" authorId="0" shapeId="0">
      <text>
        <t>Voeg elke plant één keer toe. Gebruik de exacte plantnaam ook in de Takenlijst.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3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6" customWidth="1" min="4" max="4"/>
    <col width="12" customWidth="1" min="5" max="5"/>
    <col width="12" customWidth="1" min="6" max="6"/>
    <col width="3" customWidth="1" min="7" max="7"/>
    <col width="22" customWidth="1" min="8" max="8"/>
    <col width="10" customWidth="1" min="9" max="9"/>
    <col width="10" customWidth="1" min="10" max="10"/>
    <col width="10" customWidth="1" min="11" max="11"/>
  </cols>
  <sheetData>
    <row r="1" ht="26" customHeight="1">
      <c r="A1" s="1" t="inlineStr">
        <is>
          <t>Professioneel tuinbeheer - Dashboard</t>
        </is>
      </c>
    </row>
    <row r="2">
      <c r="A2" s="2" t="inlineStr">
        <is>
          <t>Kies hieronder een maand. Het dashboard toont automatisch de bijbehorende taken en plantdrukte.</t>
        </is>
      </c>
    </row>
    <row r="4">
      <c r="A4" s="3" t="inlineStr">
        <is>
          <t>Selectie</t>
        </is>
      </c>
      <c r="E4" s="3" t="inlineStr">
        <is>
          <t>KPI</t>
        </is>
      </c>
    </row>
    <row r="5">
      <c r="A5" s="4" t="inlineStr">
        <is>
          <t>Maand</t>
        </is>
      </c>
      <c r="B5" s="5" t="inlineStr">
        <is>
          <t>Maart</t>
        </is>
      </c>
      <c r="C5" s="6">
        <f>COUNTIF(Takenlijst!$C$5:$C$204,$B$5)&amp;" taken gevonden"</f>
        <v/>
      </c>
      <c r="E5" s="7" t="inlineStr">
        <is>
          <t>Totaal planten</t>
        </is>
      </c>
      <c r="F5" s="7" t="inlineStr">
        <is>
          <t>Open taken</t>
        </is>
      </c>
      <c r="G5" s="7" t="inlineStr">
        <is>
          <t>Hoge prioriteit</t>
        </is>
      </c>
      <c r="H5" s="7" t="inlineStr">
        <is>
          <t>Afgerond</t>
        </is>
      </c>
    </row>
    <row r="6">
      <c r="E6" s="8">
        <f>COUNTIF(Plantregister!$A$5:$A$35,"&lt;&gt;")</f>
        <v/>
      </c>
      <c r="F6" s="8">
        <f>COUNTIFS(Takenlijst!$C$5:$C$204,$B$5,Takenlijst!$H$5:$H$204,"Open")</f>
        <v/>
      </c>
      <c r="G6" s="8">
        <f>COUNTIFS(Takenlijst!$C$5:$C$204,$B$5,Takenlijst!$G$5:$G$204,"Hoog")</f>
        <v/>
      </c>
      <c r="H6" s="8">
        <f>COUNTIFS(Takenlijst!$C$5:$C$204,$B$5,Takenlijst!$H$5:$H$204,"Gereed")</f>
        <v/>
      </c>
    </row>
    <row r="8">
      <c r="A8" s="3" t="inlineStr">
        <is>
          <t>Taken in gekozen maand</t>
        </is>
      </c>
      <c r="H8" s="3" t="inlineStr">
        <is>
          <t>Werkdruk per plant</t>
        </is>
      </c>
    </row>
    <row r="9">
      <c r="A9" s="9" t="inlineStr">
        <is>
          <t>#</t>
        </is>
      </c>
      <c r="B9" s="9" t="inlineStr">
        <is>
          <t>Plant</t>
        </is>
      </c>
      <c r="C9" s="9" t="inlineStr">
        <is>
          <t>Actie</t>
        </is>
      </c>
      <c r="D9" s="9" t="inlineStr">
        <is>
          <t>Categorie</t>
        </is>
      </c>
      <c r="E9" s="9" t="inlineStr">
        <is>
          <t>Prioriteit</t>
        </is>
      </c>
      <c r="F9" s="9" t="inlineStr">
        <is>
          <t>Status</t>
        </is>
      </c>
      <c r="H9" s="9" t="inlineStr">
        <is>
          <t>Plant</t>
        </is>
      </c>
      <c r="I9" s="9" t="inlineStr">
        <is>
          <t>Taken</t>
        </is>
      </c>
      <c r="J9" s="9" t="inlineStr">
        <is>
          <t>Open</t>
        </is>
      </c>
      <c r="K9" s="9" t="inlineStr">
        <is>
          <t>Hoog</t>
        </is>
      </c>
    </row>
    <row r="10">
      <c r="A10" s="10" t="n">
        <v>1</v>
      </c>
      <c r="B10" s="11">
        <f>IFERROR(INDEX(Takenlijst!$B$5:$B$204,MATCH($A10,Takenlijst!$K$5:$K$204,0)),"")</f>
        <v/>
      </c>
      <c r="C10" s="11">
        <f>IFERROR(INDEX(Takenlijst!$F$5:$F$204,MATCH($A10,Takenlijst!$K$5:$K$204,0)),"")</f>
        <v/>
      </c>
      <c r="D10" s="11">
        <f>IFERROR(INDEX(Takenlijst!$E$5:$E$204,MATCH($A10,Takenlijst!$K$5:$K$204,0)),"")</f>
        <v/>
      </c>
      <c r="E10" s="11">
        <f>IFERROR(INDEX(Takenlijst!$G$5:$G$204,MATCH($A10,Takenlijst!$K$5:$K$204,0)),"")</f>
        <v/>
      </c>
      <c r="F10" s="11">
        <f>IFERROR(INDEX(Takenlijst!$H$5:$H$204,MATCH($A10,Takenlijst!$K$5:$K$204,0)),"")</f>
        <v/>
      </c>
      <c r="H10" s="11">
        <f>IF(Plantregister!A5="","",Plantregister!A5)</f>
        <v/>
      </c>
      <c r="I10" s="11">
        <f>IF($H10="","",COUNTIFS(Takenlijst!$B$5:$B$204,$H10,Takenlijst!$C$5:$C$204,$B$5))</f>
        <v/>
      </c>
      <c r="J10" s="11">
        <f>IF($H10="","",COUNTIFS(Takenlijst!$B$5:$B$204,$H10,Takenlijst!$C$5:$C$204,$B$5,Takenlijst!$H$5:$H$204,"Open"))</f>
        <v/>
      </c>
      <c r="K10" s="11">
        <f>IF($H10="","",COUNTIFS(Takenlijst!$B$5:$B$204,$H10,Takenlijst!$C$5:$C$204,$B$5,Takenlijst!$G$5:$G$204,"Hoog"))</f>
        <v/>
      </c>
    </row>
    <row r="11">
      <c r="A11" s="10" t="n">
        <v>2</v>
      </c>
      <c r="B11" s="11">
        <f>IFERROR(INDEX(Takenlijst!$B$5:$B$204,MATCH($A11,Takenlijst!$K$5:$K$204,0)),"")</f>
        <v/>
      </c>
      <c r="C11" s="11">
        <f>IFERROR(INDEX(Takenlijst!$F$5:$F$204,MATCH($A11,Takenlijst!$K$5:$K$204,0)),"")</f>
        <v/>
      </c>
      <c r="D11" s="11">
        <f>IFERROR(INDEX(Takenlijst!$E$5:$E$204,MATCH($A11,Takenlijst!$K$5:$K$204,0)),"")</f>
        <v/>
      </c>
      <c r="E11" s="11">
        <f>IFERROR(INDEX(Takenlijst!$G$5:$G$204,MATCH($A11,Takenlijst!$K$5:$K$204,0)),"")</f>
        <v/>
      </c>
      <c r="F11" s="11">
        <f>IFERROR(INDEX(Takenlijst!$H$5:$H$204,MATCH($A11,Takenlijst!$K$5:$K$204,0)),"")</f>
        <v/>
      </c>
      <c r="H11" s="11">
        <f>IF(Plantregister!A6="","",Plantregister!A6)</f>
        <v/>
      </c>
      <c r="I11" s="11">
        <f>IF($H11="","",COUNTIFS(Takenlijst!$B$5:$B$204,$H11,Takenlijst!$C$5:$C$204,$B$5))</f>
        <v/>
      </c>
      <c r="J11" s="11">
        <f>IF($H11="","",COUNTIFS(Takenlijst!$B$5:$B$204,$H11,Takenlijst!$C$5:$C$204,$B$5,Takenlijst!$H$5:$H$204,"Open"))</f>
        <v/>
      </c>
      <c r="K11" s="11">
        <f>IF($H11="","",COUNTIFS(Takenlijst!$B$5:$B$204,$H11,Takenlijst!$C$5:$C$204,$B$5,Takenlijst!$G$5:$G$204,"Hoog"))</f>
        <v/>
      </c>
    </row>
    <row r="12">
      <c r="A12" s="10" t="n">
        <v>3</v>
      </c>
      <c r="B12" s="11">
        <f>IFERROR(INDEX(Takenlijst!$B$5:$B$204,MATCH($A12,Takenlijst!$K$5:$K$204,0)),"")</f>
        <v/>
      </c>
      <c r="C12" s="11">
        <f>IFERROR(INDEX(Takenlijst!$F$5:$F$204,MATCH($A12,Takenlijst!$K$5:$K$204,0)),"")</f>
        <v/>
      </c>
      <c r="D12" s="11">
        <f>IFERROR(INDEX(Takenlijst!$E$5:$E$204,MATCH($A12,Takenlijst!$K$5:$K$204,0)),"")</f>
        <v/>
      </c>
      <c r="E12" s="11">
        <f>IFERROR(INDEX(Takenlijst!$G$5:$G$204,MATCH($A12,Takenlijst!$K$5:$K$204,0)),"")</f>
        <v/>
      </c>
      <c r="F12" s="11">
        <f>IFERROR(INDEX(Takenlijst!$H$5:$H$204,MATCH($A12,Takenlijst!$K$5:$K$204,0)),"")</f>
        <v/>
      </c>
      <c r="H12" s="11">
        <f>IF(Plantregister!A7="","",Plantregister!A7)</f>
        <v/>
      </c>
      <c r="I12" s="11">
        <f>IF($H12="","",COUNTIFS(Takenlijst!$B$5:$B$204,$H12,Takenlijst!$C$5:$C$204,$B$5))</f>
        <v/>
      </c>
      <c r="J12" s="11">
        <f>IF($H12="","",COUNTIFS(Takenlijst!$B$5:$B$204,$H12,Takenlijst!$C$5:$C$204,$B$5,Takenlijst!$H$5:$H$204,"Open"))</f>
        <v/>
      </c>
      <c r="K12" s="11">
        <f>IF($H12="","",COUNTIFS(Takenlijst!$B$5:$B$204,$H12,Takenlijst!$C$5:$C$204,$B$5,Takenlijst!$G$5:$G$204,"Hoog"))</f>
        <v/>
      </c>
    </row>
    <row r="13">
      <c r="A13" s="10" t="n">
        <v>4</v>
      </c>
      <c r="B13" s="11">
        <f>IFERROR(INDEX(Takenlijst!$B$5:$B$204,MATCH($A13,Takenlijst!$K$5:$K$204,0)),"")</f>
        <v/>
      </c>
      <c r="C13" s="11">
        <f>IFERROR(INDEX(Takenlijst!$F$5:$F$204,MATCH($A13,Takenlijst!$K$5:$K$204,0)),"")</f>
        <v/>
      </c>
      <c r="D13" s="11">
        <f>IFERROR(INDEX(Takenlijst!$E$5:$E$204,MATCH($A13,Takenlijst!$K$5:$K$204,0)),"")</f>
        <v/>
      </c>
      <c r="E13" s="11">
        <f>IFERROR(INDEX(Takenlijst!$G$5:$G$204,MATCH($A13,Takenlijst!$K$5:$K$204,0)),"")</f>
        <v/>
      </c>
      <c r="F13" s="11">
        <f>IFERROR(INDEX(Takenlijst!$H$5:$H$204,MATCH($A13,Takenlijst!$K$5:$K$204,0)),"")</f>
        <v/>
      </c>
      <c r="H13" s="11">
        <f>IF(Plantregister!A8="","",Plantregister!A8)</f>
        <v/>
      </c>
      <c r="I13" s="11">
        <f>IF($H13="","",COUNTIFS(Takenlijst!$B$5:$B$204,$H13,Takenlijst!$C$5:$C$204,$B$5))</f>
        <v/>
      </c>
      <c r="J13" s="11">
        <f>IF($H13="","",COUNTIFS(Takenlijst!$B$5:$B$204,$H13,Takenlijst!$C$5:$C$204,$B$5,Takenlijst!$H$5:$H$204,"Open"))</f>
        <v/>
      </c>
      <c r="K13" s="11">
        <f>IF($H13="","",COUNTIFS(Takenlijst!$B$5:$B$204,$H13,Takenlijst!$C$5:$C$204,$B$5,Takenlijst!$G$5:$G$204,"Hoog"))</f>
        <v/>
      </c>
    </row>
    <row r="14">
      <c r="A14" s="10" t="n">
        <v>5</v>
      </c>
      <c r="B14" s="11">
        <f>IFERROR(INDEX(Takenlijst!$B$5:$B$204,MATCH($A14,Takenlijst!$K$5:$K$204,0)),"")</f>
        <v/>
      </c>
      <c r="C14" s="11">
        <f>IFERROR(INDEX(Takenlijst!$F$5:$F$204,MATCH($A14,Takenlijst!$K$5:$K$204,0)),"")</f>
        <v/>
      </c>
      <c r="D14" s="11">
        <f>IFERROR(INDEX(Takenlijst!$E$5:$E$204,MATCH($A14,Takenlijst!$K$5:$K$204,0)),"")</f>
        <v/>
      </c>
      <c r="E14" s="11">
        <f>IFERROR(INDEX(Takenlijst!$G$5:$G$204,MATCH($A14,Takenlijst!$K$5:$K$204,0)),"")</f>
        <v/>
      </c>
      <c r="F14" s="11">
        <f>IFERROR(INDEX(Takenlijst!$H$5:$H$204,MATCH($A14,Takenlijst!$K$5:$K$204,0)),"")</f>
        <v/>
      </c>
      <c r="H14" s="11">
        <f>IF(Plantregister!A9="","",Plantregister!A9)</f>
        <v/>
      </c>
      <c r="I14" s="11">
        <f>IF($H14="","",COUNTIFS(Takenlijst!$B$5:$B$204,$H14,Takenlijst!$C$5:$C$204,$B$5))</f>
        <v/>
      </c>
      <c r="J14" s="11">
        <f>IF($H14="","",COUNTIFS(Takenlijst!$B$5:$B$204,$H14,Takenlijst!$C$5:$C$204,$B$5,Takenlijst!$H$5:$H$204,"Open"))</f>
        <v/>
      </c>
      <c r="K14" s="11">
        <f>IF($H14="","",COUNTIFS(Takenlijst!$B$5:$B$204,$H14,Takenlijst!$C$5:$C$204,$B$5,Takenlijst!$G$5:$G$204,"Hoog"))</f>
        <v/>
      </c>
    </row>
    <row r="15">
      <c r="A15" s="10" t="n">
        <v>6</v>
      </c>
      <c r="B15" s="11">
        <f>IFERROR(INDEX(Takenlijst!$B$5:$B$204,MATCH($A15,Takenlijst!$K$5:$K$204,0)),"")</f>
        <v/>
      </c>
      <c r="C15" s="11">
        <f>IFERROR(INDEX(Takenlijst!$F$5:$F$204,MATCH($A15,Takenlijst!$K$5:$K$204,0)),"")</f>
        <v/>
      </c>
      <c r="D15" s="11">
        <f>IFERROR(INDEX(Takenlijst!$E$5:$E$204,MATCH($A15,Takenlijst!$K$5:$K$204,0)),"")</f>
        <v/>
      </c>
      <c r="E15" s="11">
        <f>IFERROR(INDEX(Takenlijst!$G$5:$G$204,MATCH($A15,Takenlijst!$K$5:$K$204,0)),"")</f>
        <v/>
      </c>
      <c r="F15" s="11">
        <f>IFERROR(INDEX(Takenlijst!$H$5:$H$204,MATCH($A15,Takenlijst!$K$5:$K$204,0)),"")</f>
        <v/>
      </c>
      <c r="H15" s="11">
        <f>IF(Plantregister!A10="","",Plantregister!A10)</f>
        <v/>
      </c>
      <c r="I15" s="11">
        <f>IF($H15="","",COUNTIFS(Takenlijst!$B$5:$B$204,$H15,Takenlijst!$C$5:$C$204,$B$5))</f>
        <v/>
      </c>
      <c r="J15" s="11">
        <f>IF($H15="","",COUNTIFS(Takenlijst!$B$5:$B$204,$H15,Takenlijst!$C$5:$C$204,$B$5,Takenlijst!$H$5:$H$204,"Open"))</f>
        <v/>
      </c>
      <c r="K15" s="11">
        <f>IF($H15="","",COUNTIFS(Takenlijst!$B$5:$B$204,$H15,Takenlijst!$C$5:$C$204,$B$5,Takenlijst!$G$5:$G$204,"Hoog"))</f>
        <v/>
      </c>
    </row>
    <row r="16">
      <c r="A16" s="10" t="n">
        <v>7</v>
      </c>
      <c r="B16" s="11">
        <f>IFERROR(INDEX(Takenlijst!$B$5:$B$204,MATCH($A16,Takenlijst!$K$5:$K$204,0)),"")</f>
        <v/>
      </c>
      <c r="C16" s="11">
        <f>IFERROR(INDEX(Takenlijst!$F$5:$F$204,MATCH($A16,Takenlijst!$K$5:$K$204,0)),"")</f>
        <v/>
      </c>
      <c r="D16" s="11">
        <f>IFERROR(INDEX(Takenlijst!$E$5:$E$204,MATCH($A16,Takenlijst!$K$5:$K$204,0)),"")</f>
        <v/>
      </c>
      <c r="E16" s="11">
        <f>IFERROR(INDEX(Takenlijst!$G$5:$G$204,MATCH($A16,Takenlijst!$K$5:$K$204,0)),"")</f>
        <v/>
      </c>
      <c r="F16" s="11">
        <f>IFERROR(INDEX(Takenlijst!$H$5:$H$204,MATCH($A16,Takenlijst!$K$5:$K$204,0)),"")</f>
        <v/>
      </c>
      <c r="H16" s="11">
        <f>IF(Plantregister!A11="","",Plantregister!A11)</f>
        <v/>
      </c>
      <c r="I16" s="11">
        <f>IF($H16="","",COUNTIFS(Takenlijst!$B$5:$B$204,$H16,Takenlijst!$C$5:$C$204,$B$5))</f>
        <v/>
      </c>
      <c r="J16" s="11">
        <f>IF($H16="","",COUNTIFS(Takenlijst!$B$5:$B$204,$H16,Takenlijst!$C$5:$C$204,$B$5,Takenlijst!$H$5:$H$204,"Open"))</f>
        <v/>
      </c>
      <c r="K16" s="11">
        <f>IF($H16="","",COUNTIFS(Takenlijst!$B$5:$B$204,$H16,Takenlijst!$C$5:$C$204,$B$5,Takenlijst!$G$5:$G$204,"Hoog"))</f>
        <v/>
      </c>
    </row>
    <row r="17">
      <c r="A17" s="10" t="n">
        <v>8</v>
      </c>
      <c r="B17" s="11">
        <f>IFERROR(INDEX(Takenlijst!$B$5:$B$204,MATCH($A17,Takenlijst!$K$5:$K$204,0)),"")</f>
        <v/>
      </c>
      <c r="C17" s="11">
        <f>IFERROR(INDEX(Takenlijst!$F$5:$F$204,MATCH($A17,Takenlijst!$K$5:$K$204,0)),"")</f>
        <v/>
      </c>
      <c r="D17" s="11">
        <f>IFERROR(INDEX(Takenlijst!$E$5:$E$204,MATCH($A17,Takenlijst!$K$5:$K$204,0)),"")</f>
        <v/>
      </c>
      <c r="E17" s="11">
        <f>IFERROR(INDEX(Takenlijst!$G$5:$G$204,MATCH($A17,Takenlijst!$K$5:$K$204,0)),"")</f>
        <v/>
      </c>
      <c r="F17" s="11">
        <f>IFERROR(INDEX(Takenlijst!$H$5:$H$204,MATCH($A17,Takenlijst!$K$5:$K$204,0)),"")</f>
        <v/>
      </c>
      <c r="H17" s="11">
        <f>IF(Plantregister!A12="","",Plantregister!A12)</f>
        <v/>
      </c>
      <c r="I17" s="11">
        <f>IF($H17="","",COUNTIFS(Takenlijst!$B$5:$B$204,$H17,Takenlijst!$C$5:$C$204,$B$5))</f>
        <v/>
      </c>
      <c r="J17" s="11">
        <f>IF($H17="","",COUNTIFS(Takenlijst!$B$5:$B$204,$H17,Takenlijst!$C$5:$C$204,$B$5,Takenlijst!$H$5:$H$204,"Open"))</f>
        <v/>
      </c>
      <c r="K17" s="11">
        <f>IF($H17="","",COUNTIFS(Takenlijst!$B$5:$B$204,$H17,Takenlijst!$C$5:$C$204,$B$5,Takenlijst!$G$5:$G$204,"Hoog"))</f>
        <v/>
      </c>
    </row>
    <row r="18">
      <c r="A18" s="10" t="n">
        <v>9</v>
      </c>
      <c r="B18" s="11">
        <f>IFERROR(INDEX(Takenlijst!$B$5:$B$204,MATCH($A18,Takenlijst!$K$5:$K$204,0)),"")</f>
        <v/>
      </c>
      <c r="C18" s="11">
        <f>IFERROR(INDEX(Takenlijst!$F$5:$F$204,MATCH($A18,Takenlijst!$K$5:$K$204,0)),"")</f>
        <v/>
      </c>
      <c r="D18" s="11">
        <f>IFERROR(INDEX(Takenlijst!$E$5:$E$204,MATCH($A18,Takenlijst!$K$5:$K$204,0)),"")</f>
        <v/>
      </c>
      <c r="E18" s="11">
        <f>IFERROR(INDEX(Takenlijst!$G$5:$G$204,MATCH($A18,Takenlijst!$K$5:$K$204,0)),"")</f>
        <v/>
      </c>
      <c r="F18" s="11">
        <f>IFERROR(INDEX(Takenlijst!$H$5:$H$204,MATCH($A18,Takenlijst!$K$5:$K$204,0)),"")</f>
        <v/>
      </c>
      <c r="H18" s="11">
        <f>IF(Plantregister!A13="","",Plantregister!A13)</f>
        <v/>
      </c>
      <c r="I18" s="11">
        <f>IF($H18="","",COUNTIFS(Takenlijst!$B$5:$B$204,$H18,Takenlijst!$C$5:$C$204,$B$5))</f>
        <v/>
      </c>
      <c r="J18" s="11">
        <f>IF($H18="","",COUNTIFS(Takenlijst!$B$5:$B$204,$H18,Takenlijst!$C$5:$C$204,$B$5,Takenlijst!$H$5:$H$204,"Open"))</f>
        <v/>
      </c>
      <c r="K18" s="11">
        <f>IF($H18="","",COUNTIFS(Takenlijst!$B$5:$B$204,$H18,Takenlijst!$C$5:$C$204,$B$5,Takenlijst!$G$5:$G$204,"Hoog"))</f>
        <v/>
      </c>
    </row>
    <row r="19">
      <c r="A19" s="10" t="n">
        <v>10</v>
      </c>
      <c r="B19" s="11">
        <f>IFERROR(INDEX(Takenlijst!$B$5:$B$204,MATCH($A19,Takenlijst!$K$5:$K$204,0)),"")</f>
        <v/>
      </c>
      <c r="C19" s="11">
        <f>IFERROR(INDEX(Takenlijst!$F$5:$F$204,MATCH($A19,Takenlijst!$K$5:$K$204,0)),"")</f>
        <v/>
      </c>
      <c r="D19" s="11">
        <f>IFERROR(INDEX(Takenlijst!$E$5:$E$204,MATCH($A19,Takenlijst!$K$5:$K$204,0)),"")</f>
        <v/>
      </c>
      <c r="E19" s="11">
        <f>IFERROR(INDEX(Takenlijst!$G$5:$G$204,MATCH($A19,Takenlijst!$K$5:$K$204,0)),"")</f>
        <v/>
      </c>
      <c r="F19" s="11">
        <f>IFERROR(INDEX(Takenlijst!$H$5:$H$204,MATCH($A19,Takenlijst!$K$5:$K$204,0)),"")</f>
        <v/>
      </c>
      <c r="H19" s="11">
        <f>IF(Plantregister!A14="","",Plantregister!A14)</f>
        <v/>
      </c>
      <c r="I19" s="11">
        <f>IF($H19="","",COUNTIFS(Takenlijst!$B$5:$B$204,$H19,Takenlijst!$C$5:$C$204,$B$5))</f>
        <v/>
      </c>
      <c r="J19" s="11">
        <f>IF($H19="","",COUNTIFS(Takenlijst!$B$5:$B$204,$H19,Takenlijst!$C$5:$C$204,$B$5,Takenlijst!$H$5:$H$204,"Open"))</f>
        <v/>
      </c>
      <c r="K19" s="11">
        <f>IF($H19="","",COUNTIFS(Takenlijst!$B$5:$B$204,$H19,Takenlijst!$C$5:$C$204,$B$5,Takenlijst!$G$5:$G$204,"Hoog"))</f>
        <v/>
      </c>
    </row>
    <row r="20">
      <c r="A20" s="10" t="n">
        <v>11</v>
      </c>
      <c r="B20" s="11">
        <f>IFERROR(INDEX(Takenlijst!$B$5:$B$204,MATCH($A20,Takenlijst!$K$5:$K$204,0)),"")</f>
        <v/>
      </c>
      <c r="C20" s="11">
        <f>IFERROR(INDEX(Takenlijst!$F$5:$F$204,MATCH($A20,Takenlijst!$K$5:$K$204,0)),"")</f>
        <v/>
      </c>
      <c r="D20" s="11">
        <f>IFERROR(INDEX(Takenlijst!$E$5:$E$204,MATCH($A20,Takenlijst!$K$5:$K$204,0)),"")</f>
        <v/>
      </c>
      <c r="E20" s="11">
        <f>IFERROR(INDEX(Takenlijst!$G$5:$G$204,MATCH($A20,Takenlijst!$K$5:$K$204,0)),"")</f>
        <v/>
      </c>
      <c r="F20" s="11">
        <f>IFERROR(INDEX(Takenlijst!$H$5:$H$204,MATCH($A20,Takenlijst!$K$5:$K$204,0)),"")</f>
        <v/>
      </c>
      <c r="H20" s="11">
        <f>IF(Plantregister!A15="","",Plantregister!A15)</f>
        <v/>
      </c>
      <c r="I20" s="11">
        <f>IF($H20="","",COUNTIFS(Takenlijst!$B$5:$B$204,$H20,Takenlijst!$C$5:$C$204,$B$5))</f>
        <v/>
      </c>
      <c r="J20" s="11">
        <f>IF($H20="","",COUNTIFS(Takenlijst!$B$5:$B$204,$H20,Takenlijst!$C$5:$C$204,$B$5,Takenlijst!$H$5:$H$204,"Open"))</f>
        <v/>
      </c>
      <c r="K20" s="11">
        <f>IF($H20="","",COUNTIFS(Takenlijst!$B$5:$B$204,$H20,Takenlijst!$C$5:$C$204,$B$5,Takenlijst!$G$5:$G$204,"Hoog"))</f>
        <v/>
      </c>
    </row>
    <row r="21">
      <c r="A21" s="10" t="n">
        <v>12</v>
      </c>
      <c r="B21" s="11">
        <f>IFERROR(INDEX(Takenlijst!$B$5:$B$204,MATCH($A21,Takenlijst!$K$5:$K$204,0)),"")</f>
        <v/>
      </c>
      <c r="C21" s="11">
        <f>IFERROR(INDEX(Takenlijst!$F$5:$F$204,MATCH($A21,Takenlijst!$K$5:$K$204,0)),"")</f>
        <v/>
      </c>
      <c r="D21" s="11">
        <f>IFERROR(INDEX(Takenlijst!$E$5:$E$204,MATCH($A21,Takenlijst!$K$5:$K$204,0)),"")</f>
        <v/>
      </c>
      <c r="E21" s="11">
        <f>IFERROR(INDEX(Takenlijst!$G$5:$G$204,MATCH($A21,Takenlijst!$K$5:$K$204,0)),"")</f>
        <v/>
      </c>
      <c r="F21" s="11">
        <f>IFERROR(INDEX(Takenlijst!$H$5:$H$204,MATCH($A21,Takenlijst!$K$5:$K$204,0)),"")</f>
        <v/>
      </c>
      <c r="H21" s="11">
        <f>IF(Plantregister!A16="","",Plantregister!A16)</f>
        <v/>
      </c>
      <c r="I21" s="11">
        <f>IF($H21="","",COUNTIFS(Takenlijst!$B$5:$B$204,$H21,Takenlijst!$C$5:$C$204,$B$5))</f>
        <v/>
      </c>
      <c r="J21" s="11">
        <f>IF($H21="","",COUNTIFS(Takenlijst!$B$5:$B$204,$H21,Takenlijst!$C$5:$C$204,$B$5,Takenlijst!$H$5:$H$204,"Open"))</f>
        <v/>
      </c>
      <c r="K21" s="11">
        <f>IF($H21="","",COUNTIFS(Takenlijst!$B$5:$B$204,$H21,Takenlijst!$C$5:$C$204,$B$5,Takenlijst!$G$5:$G$204,"Hoog"))</f>
        <v/>
      </c>
    </row>
    <row r="22">
      <c r="A22" s="10" t="n">
        <v>13</v>
      </c>
      <c r="B22" s="11">
        <f>IFERROR(INDEX(Takenlijst!$B$5:$B$204,MATCH($A22,Takenlijst!$K$5:$K$204,0)),"")</f>
        <v/>
      </c>
      <c r="C22" s="11">
        <f>IFERROR(INDEX(Takenlijst!$F$5:$F$204,MATCH($A22,Takenlijst!$K$5:$K$204,0)),"")</f>
        <v/>
      </c>
      <c r="D22" s="11">
        <f>IFERROR(INDEX(Takenlijst!$E$5:$E$204,MATCH($A22,Takenlijst!$K$5:$K$204,0)),"")</f>
        <v/>
      </c>
      <c r="E22" s="11">
        <f>IFERROR(INDEX(Takenlijst!$G$5:$G$204,MATCH($A22,Takenlijst!$K$5:$K$204,0)),"")</f>
        <v/>
      </c>
      <c r="F22" s="11">
        <f>IFERROR(INDEX(Takenlijst!$H$5:$H$204,MATCH($A22,Takenlijst!$K$5:$K$204,0)),"")</f>
        <v/>
      </c>
      <c r="H22" s="11">
        <f>IF(Plantregister!A17="","",Plantregister!A17)</f>
        <v/>
      </c>
      <c r="I22" s="11">
        <f>IF($H22="","",COUNTIFS(Takenlijst!$B$5:$B$204,$H22,Takenlijst!$C$5:$C$204,$B$5))</f>
        <v/>
      </c>
      <c r="J22" s="11">
        <f>IF($H22="","",COUNTIFS(Takenlijst!$B$5:$B$204,$H22,Takenlijst!$C$5:$C$204,$B$5,Takenlijst!$H$5:$H$204,"Open"))</f>
        <v/>
      </c>
      <c r="K22" s="11">
        <f>IF($H22="","",COUNTIFS(Takenlijst!$B$5:$B$204,$H22,Takenlijst!$C$5:$C$204,$B$5,Takenlijst!$G$5:$G$204,"Hoog"))</f>
        <v/>
      </c>
    </row>
    <row r="23">
      <c r="A23" s="10" t="n">
        <v>14</v>
      </c>
      <c r="B23" s="11">
        <f>IFERROR(INDEX(Takenlijst!$B$5:$B$204,MATCH($A23,Takenlijst!$K$5:$K$204,0)),"")</f>
        <v/>
      </c>
      <c r="C23" s="11">
        <f>IFERROR(INDEX(Takenlijst!$F$5:$F$204,MATCH($A23,Takenlijst!$K$5:$K$204,0)),"")</f>
        <v/>
      </c>
      <c r="D23" s="11">
        <f>IFERROR(INDEX(Takenlijst!$E$5:$E$204,MATCH($A23,Takenlijst!$K$5:$K$204,0)),"")</f>
        <v/>
      </c>
      <c r="E23" s="11">
        <f>IFERROR(INDEX(Takenlijst!$G$5:$G$204,MATCH($A23,Takenlijst!$K$5:$K$204,0)),"")</f>
        <v/>
      </c>
      <c r="F23" s="11">
        <f>IFERROR(INDEX(Takenlijst!$H$5:$H$204,MATCH($A23,Takenlijst!$K$5:$K$204,0)),"")</f>
        <v/>
      </c>
      <c r="H23" s="11">
        <f>IF(Plantregister!A18="","",Plantregister!A18)</f>
        <v/>
      </c>
      <c r="I23" s="11">
        <f>IF($H23="","",COUNTIFS(Takenlijst!$B$5:$B$204,$H23,Takenlijst!$C$5:$C$204,$B$5))</f>
        <v/>
      </c>
      <c r="J23" s="11">
        <f>IF($H23="","",COUNTIFS(Takenlijst!$B$5:$B$204,$H23,Takenlijst!$C$5:$C$204,$B$5,Takenlijst!$H$5:$H$204,"Open"))</f>
        <v/>
      </c>
      <c r="K23" s="11">
        <f>IF($H23="","",COUNTIFS(Takenlijst!$B$5:$B$204,$H23,Takenlijst!$C$5:$C$204,$B$5,Takenlijst!$G$5:$G$204,"Hoog"))</f>
        <v/>
      </c>
    </row>
    <row r="24">
      <c r="A24" s="10" t="n">
        <v>15</v>
      </c>
      <c r="B24" s="11">
        <f>IFERROR(INDEX(Takenlijst!$B$5:$B$204,MATCH($A24,Takenlijst!$K$5:$K$204,0)),"")</f>
        <v/>
      </c>
      <c r="C24" s="11">
        <f>IFERROR(INDEX(Takenlijst!$F$5:$F$204,MATCH($A24,Takenlijst!$K$5:$K$204,0)),"")</f>
        <v/>
      </c>
      <c r="D24" s="11">
        <f>IFERROR(INDEX(Takenlijst!$E$5:$E$204,MATCH($A24,Takenlijst!$K$5:$K$204,0)),"")</f>
        <v/>
      </c>
      <c r="E24" s="11">
        <f>IFERROR(INDEX(Takenlijst!$G$5:$G$204,MATCH($A24,Takenlijst!$K$5:$K$204,0)),"")</f>
        <v/>
      </c>
      <c r="F24" s="11">
        <f>IFERROR(INDEX(Takenlijst!$H$5:$H$204,MATCH($A24,Takenlijst!$K$5:$K$204,0)),"")</f>
        <v/>
      </c>
      <c r="H24" s="11">
        <f>IF(Plantregister!A19="","",Plantregister!A19)</f>
        <v/>
      </c>
      <c r="I24" s="11">
        <f>IF($H24="","",COUNTIFS(Takenlijst!$B$5:$B$204,$H24,Takenlijst!$C$5:$C$204,$B$5))</f>
        <v/>
      </c>
      <c r="J24" s="11">
        <f>IF($H24="","",COUNTIFS(Takenlijst!$B$5:$B$204,$H24,Takenlijst!$C$5:$C$204,$B$5,Takenlijst!$H$5:$H$204,"Open"))</f>
        <v/>
      </c>
      <c r="K24" s="11">
        <f>IF($H24="","",COUNTIFS(Takenlijst!$B$5:$B$204,$H24,Takenlijst!$C$5:$C$204,$B$5,Takenlijst!$G$5:$G$204,"Hoog"))</f>
        <v/>
      </c>
    </row>
    <row r="25">
      <c r="A25" s="10" t="n">
        <v>16</v>
      </c>
      <c r="B25" s="11">
        <f>IFERROR(INDEX(Takenlijst!$B$5:$B$204,MATCH($A25,Takenlijst!$K$5:$K$204,0)),"")</f>
        <v/>
      </c>
      <c r="C25" s="11">
        <f>IFERROR(INDEX(Takenlijst!$F$5:$F$204,MATCH($A25,Takenlijst!$K$5:$K$204,0)),"")</f>
        <v/>
      </c>
      <c r="D25" s="11">
        <f>IFERROR(INDEX(Takenlijst!$E$5:$E$204,MATCH($A25,Takenlijst!$K$5:$K$204,0)),"")</f>
        <v/>
      </c>
      <c r="E25" s="11">
        <f>IFERROR(INDEX(Takenlijst!$G$5:$G$204,MATCH($A25,Takenlijst!$K$5:$K$204,0)),"")</f>
        <v/>
      </c>
      <c r="F25" s="11">
        <f>IFERROR(INDEX(Takenlijst!$H$5:$H$204,MATCH($A25,Takenlijst!$K$5:$K$204,0)),"")</f>
        <v/>
      </c>
      <c r="H25" s="11">
        <f>IF(Plantregister!A20="","",Plantregister!A20)</f>
        <v/>
      </c>
      <c r="I25" s="11">
        <f>IF($H25="","",COUNTIFS(Takenlijst!$B$5:$B$204,$H25,Takenlijst!$C$5:$C$204,$B$5))</f>
        <v/>
      </c>
      <c r="J25" s="11">
        <f>IF($H25="","",COUNTIFS(Takenlijst!$B$5:$B$204,$H25,Takenlijst!$C$5:$C$204,$B$5,Takenlijst!$H$5:$H$204,"Open"))</f>
        <v/>
      </c>
      <c r="K25" s="11">
        <f>IF($H25="","",COUNTIFS(Takenlijst!$B$5:$B$204,$H25,Takenlijst!$C$5:$C$204,$B$5,Takenlijst!$G$5:$G$204,"Hoog"))</f>
        <v/>
      </c>
    </row>
  </sheetData>
  <mergeCells count="6">
    <mergeCell ref="E4:F4"/>
    <mergeCell ref="H8:K8"/>
    <mergeCell ref="A2:K2"/>
    <mergeCell ref="A8:F8"/>
    <mergeCell ref="A4:C4"/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0" customWidth="1" min="4" max="4"/>
    <col width="16" customWidth="1" min="5" max="5"/>
    <col width="55" customWidth="1" min="6" max="6"/>
    <col width="12" customWidth="1" min="7" max="7"/>
    <col width="12" customWidth="1" min="8" max="8"/>
    <col width="10" customWidth="1" min="9" max="9"/>
    <col width="28" customWidth="1" min="10" max="10"/>
    <col width="18" customWidth="1" min="11" max="11"/>
  </cols>
  <sheetData>
    <row r="1" ht="24" customHeight="1">
      <c r="A1" s="1" t="inlineStr">
        <is>
          <t>Takenlijst</t>
        </is>
      </c>
    </row>
    <row r="2">
      <c r="A2" s="2" t="inlineStr">
        <is>
          <t>Vul hier de concrete tuintaken in. Kies maand, categorie, prioriteit en status via de keuzelijsten.</t>
        </is>
      </c>
    </row>
    <row r="4">
      <c r="A4" s="12" t="inlineStr">
        <is>
          <t>ID</t>
        </is>
      </c>
      <c r="B4" s="12" t="inlineStr">
        <is>
          <t>Plant</t>
        </is>
      </c>
      <c r="C4" s="12" t="inlineStr">
        <is>
          <t>Maand</t>
        </is>
      </c>
      <c r="D4" s="12" t="inlineStr">
        <is>
          <t>Week</t>
        </is>
      </c>
      <c r="E4" s="12" t="inlineStr">
        <is>
          <t>Categorie</t>
        </is>
      </c>
      <c r="F4" s="12" t="inlineStr">
        <is>
          <t>Actie</t>
        </is>
      </c>
      <c r="G4" s="12" t="inlineStr">
        <is>
          <t>Prioriteit</t>
        </is>
      </c>
      <c r="H4" s="12" t="inlineStr">
        <is>
          <t>Status</t>
        </is>
      </c>
      <c r="I4" s="12" t="inlineStr">
        <is>
          <t>Duur</t>
        </is>
      </c>
      <c r="J4" s="12" t="inlineStr">
        <is>
          <t>Opmerking</t>
        </is>
      </c>
      <c r="K4" s="12" t="inlineStr">
        <is>
          <t>DashboardVolgorde</t>
        </is>
      </c>
    </row>
    <row r="5">
      <c r="A5" s="13" t="inlineStr">
        <is>
          <t>FUC-01</t>
        </is>
      </c>
      <c r="B5" s="13" t="inlineStr">
        <is>
          <t>Fuchsia</t>
        </is>
      </c>
      <c r="C5" s="13" t="inlineStr">
        <is>
          <t>Januari</t>
        </is>
      </c>
      <c r="D5" s="13" t="n">
        <v>2</v>
      </c>
      <c r="E5" s="13" t="inlineStr">
        <is>
          <t>Beschermen</t>
        </is>
      </c>
      <c r="F5" s="13" t="inlineStr">
        <is>
          <t>Controleer winterbescherming en houd de wortelkluit licht vochtig</t>
        </is>
      </c>
      <c r="G5" s="13" t="inlineStr">
        <is>
          <t>Middel</t>
        </is>
      </c>
      <c r="H5" s="13" t="inlineStr">
        <is>
          <t>Open</t>
        </is>
      </c>
      <c r="I5" s="13" t="inlineStr">
        <is>
          <t>10 min</t>
        </is>
      </c>
      <c r="J5" s="13" t="inlineStr">
        <is>
          <t>Niet laten uitdrogen</t>
        </is>
      </c>
      <c r="K5" s="11">
        <f>IF($C5=Dashboard!$B$5,COUNTIF($C$5:C5,$C5),"")</f>
        <v/>
      </c>
    </row>
    <row r="6">
      <c r="A6" s="13" t="inlineStr">
        <is>
          <t>FUC-02</t>
        </is>
      </c>
      <c r="B6" s="13" t="inlineStr">
        <is>
          <t>Fuchsia</t>
        </is>
      </c>
      <c r="C6" s="13" t="inlineStr">
        <is>
          <t>Februari</t>
        </is>
      </c>
      <c r="D6" s="13" t="n">
        <v>3</v>
      </c>
      <c r="E6" s="13" t="inlineStr">
        <is>
          <t>Snoeien</t>
        </is>
      </c>
      <c r="F6" s="13" t="inlineStr">
        <is>
          <t>Verwijder dood, beschadigd of zwak hout</t>
        </is>
      </c>
      <c r="G6" s="13" t="inlineStr">
        <is>
          <t>Middel</t>
        </is>
      </c>
      <c r="H6" s="13" t="inlineStr">
        <is>
          <t>Open</t>
        </is>
      </c>
      <c r="I6" s="13" t="inlineStr">
        <is>
          <t>15 min</t>
        </is>
      </c>
      <c r="J6" s="13" t="inlineStr">
        <is>
          <t>Alleen lichte correctie binnen</t>
        </is>
      </c>
      <c r="K6" s="11">
        <f>IF($C6=Dashboard!$B$5,COUNTIF($C$5:C6,$C6),"")</f>
        <v/>
      </c>
    </row>
    <row r="7">
      <c r="A7" s="13" t="inlineStr">
        <is>
          <t>FUC-03</t>
        </is>
      </c>
      <c r="B7" s="13" t="inlineStr">
        <is>
          <t>Fuchsia</t>
        </is>
      </c>
      <c r="C7" s="13" t="inlineStr">
        <is>
          <t>Maart</t>
        </is>
      </c>
      <c r="D7" s="13" t="n">
        <v>2</v>
      </c>
      <c r="E7" s="13" t="inlineStr">
        <is>
          <t>Snoeien</t>
        </is>
      </c>
      <c r="F7" s="13" t="inlineStr">
        <is>
          <t>Snoei de plant stevig terug tot circa 1/3 voor compacte groei</t>
        </is>
      </c>
      <c r="G7" s="13" t="inlineStr">
        <is>
          <t>Hoog</t>
        </is>
      </c>
      <c r="H7" s="13" t="inlineStr">
        <is>
          <t>Open</t>
        </is>
      </c>
      <c r="I7" s="13" t="inlineStr">
        <is>
          <t>30 min</t>
        </is>
      </c>
      <c r="J7" s="13" t="inlineStr">
        <is>
          <t>Belangrijkste snoeimoment</t>
        </is>
      </c>
      <c r="K7" s="11">
        <f>IF($C7=Dashboard!$B$5,COUNTIF($C$5:C7,$C7),"")</f>
        <v/>
      </c>
    </row>
    <row r="8">
      <c r="A8" s="13" t="inlineStr">
        <is>
          <t>FUC-04</t>
        </is>
      </c>
      <c r="B8" s="13" t="inlineStr">
        <is>
          <t>Fuchsia</t>
        </is>
      </c>
      <c r="C8" s="13" t="inlineStr">
        <is>
          <t>April</t>
        </is>
      </c>
      <c r="D8" s="13" t="n">
        <v>2</v>
      </c>
      <c r="E8" s="13" t="inlineStr">
        <is>
          <t>Controle</t>
        </is>
      </c>
      <c r="F8" s="13" t="inlineStr">
        <is>
          <t>Controleer nieuwe uitlopers en verwijder vorstschade</t>
        </is>
      </c>
      <c r="G8" s="13" t="inlineStr">
        <is>
          <t>Middel</t>
        </is>
      </c>
      <c r="H8" s="13" t="inlineStr">
        <is>
          <t>Open</t>
        </is>
      </c>
      <c r="I8" s="13" t="inlineStr">
        <is>
          <t>10 min</t>
        </is>
      </c>
      <c r="J8" s="13" t="inlineStr">
        <is>
          <t>Let op koude nachten</t>
        </is>
      </c>
      <c r="K8" s="11">
        <f>IF($C8=Dashboard!$B$5,COUNTIF($C$5:C8,$C8),"")</f>
        <v/>
      </c>
    </row>
    <row r="9">
      <c r="A9" s="13" t="inlineStr">
        <is>
          <t>FUC-05</t>
        </is>
      </c>
      <c r="B9" s="13" t="inlineStr">
        <is>
          <t>Fuchsia</t>
        </is>
      </c>
      <c r="C9" s="13" t="inlineStr">
        <is>
          <t>April</t>
        </is>
      </c>
      <c r="D9" s="13" t="n">
        <v>3</v>
      </c>
      <c r="E9" s="13" t="inlineStr">
        <is>
          <t>Bemesten</t>
        </is>
      </c>
      <c r="F9" s="13" t="inlineStr">
        <is>
          <t>Start met vloeibare voeding of langzaam werkende mest</t>
        </is>
      </c>
      <c r="G9" s="13" t="inlineStr">
        <is>
          <t>Middel</t>
        </is>
      </c>
      <c r="H9" s="13" t="inlineStr">
        <is>
          <t>Open</t>
        </is>
      </c>
      <c r="I9" s="13" t="inlineStr">
        <is>
          <t>10 min</t>
        </is>
      </c>
      <c r="J9" s="13" t="inlineStr">
        <is>
          <t>Ondersteunt groeistart</t>
        </is>
      </c>
      <c r="K9" s="11">
        <f>IF($C9=Dashboard!$B$5,COUNTIF($C$5:C9,$C9),"")</f>
        <v/>
      </c>
    </row>
    <row r="10">
      <c r="A10" s="13" t="inlineStr">
        <is>
          <t>FUC-06</t>
        </is>
      </c>
      <c r="B10" s="13" t="inlineStr">
        <is>
          <t>Fuchsia</t>
        </is>
      </c>
      <c r="C10" s="13" t="inlineStr">
        <is>
          <t>Mei</t>
        </is>
      </c>
      <c r="D10" s="13" t="n">
        <v>2</v>
      </c>
      <c r="E10" s="13" t="inlineStr">
        <is>
          <t>Verplaatsen</t>
        </is>
      </c>
      <c r="F10" s="13" t="inlineStr">
        <is>
          <t>Zet buiten na de laatste nachtvorst en wen geleidelijk aan buitenlicht</t>
        </is>
      </c>
      <c r="G10" s="13" t="inlineStr">
        <is>
          <t>Hoog</t>
        </is>
      </c>
      <c r="H10" s="13" t="inlineStr">
        <is>
          <t>Open</t>
        </is>
      </c>
      <c r="I10" s="13" t="inlineStr">
        <is>
          <t>30 min</t>
        </is>
      </c>
      <c r="J10" s="13" t="inlineStr">
        <is>
          <t>Afbouwen binnenstand</t>
        </is>
      </c>
      <c r="K10" s="11">
        <f>IF($C10=Dashboard!$B$5,COUNTIF($C$5:C10,$C10),"")</f>
        <v/>
      </c>
    </row>
    <row r="11">
      <c r="A11" s="13" t="inlineStr">
        <is>
          <t>FUC-07</t>
        </is>
      </c>
      <c r="B11" s="13" t="inlineStr">
        <is>
          <t>Fuchsia</t>
        </is>
      </c>
      <c r="C11" s="13" t="inlineStr">
        <is>
          <t>Juni</t>
        </is>
      </c>
      <c r="D11" s="13" t="n">
        <v>2</v>
      </c>
      <c r="E11" s="13" t="inlineStr">
        <is>
          <t>Snoeien</t>
        </is>
      </c>
      <c r="F11" s="13" t="inlineStr">
        <is>
          <t>Knijp scheutpunten uit voor extra vertakking en volle bloei</t>
        </is>
      </c>
      <c r="G11" s="13" t="inlineStr">
        <is>
          <t>Middel</t>
        </is>
      </c>
      <c r="H11" s="13" t="inlineStr">
        <is>
          <t>Open</t>
        </is>
      </c>
      <c r="I11" s="13" t="inlineStr">
        <is>
          <t>15 min</t>
        </is>
      </c>
      <c r="J11" s="13" t="inlineStr">
        <is>
          <t>Lichte vormsnoei</t>
        </is>
      </c>
      <c r="K11" s="11">
        <f>IF($C11=Dashboard!$B$5,COUNTIF($C$5:C11,$C11),"")</f>
        <v/>
      </c>
    </row>
    <row r="12">
      <c r="A12" s="13" t="inlineStr">
        <is>
          <t>FUC-08</t>
        </is>
      </c>
      <c r="B12" s="13" t="inlineStr">
        <is>
          <t>Fuchsia</t>
        </is>
      </c>
      <c r="C12" s="13" t="inlineStr">
        <is>
          <t>Juli</t>
        </is>
      </c>
      <c r="D12" s="13" t="n">
        <v>2</v>
      </c>
      <c r="E12" s="13" t="inlineStr">
        <is>
          <t>Onderhoud</t>
        </is>
      </c>
      <c r="F12" s="13" t="inlineStr">
        <is>
          <t>Verwijder uitgebloeide bloemen en controleer watergift</t>
        </is>
      </c>
      <c r="G12" s="13" t="inlineStr">
        <is>
          <t>Middel</t>
        </is>
      </c>
      <c r="H12" s="13" t="inlineStr">
        <is>
          <t>Open</t>
        </is>
      </c>
      <c r="I12" s="13" t="inlineStr">
        <is>
          <t>10 min</t>
        </is>
      </c>
      <c r="J12" s="13" t="inlineStr">
        <is>
          <t>Veel bloei = meer water</t>
        </is>
      </c>
      <c r="K12" s="11">
        <f>IF($C12=Dashboard!$B$5,COUNTIF($C$5:C12,$C12),"")</f>
        <v/>
      </c>
    </row>
    <row r="13">
      <c r="A13" s="13" t="inlineStr">
        <is>
          <t>FUC-09</t>
        </is>
      </c>
      <c r="B13" s="13" t="inlineStr">
        <is>
          <t>Fuchsia</t>
        </is>
      </c>
      <c r="C13" s="13" t="inlineStr">
        <is>
          <t>Augustus</t>
        </is>
      </c>
      <c r="D13" s="13" t="n">
        <v>3</v>
      </c>
      <c r="E13" s="13" t="inlineStr">
        <is>
          <t>Onderhoud</t>
        </is>
      </c>
      <c r="F13" s="13" t="inlineStr">
        <is>
          <t>Werk de vorm bij en houd de plant luchtig</t>
        </is>
      </c>
      <c r="G13" s="13" t="inlineStr">
        <is>
          <t>Laag</t>
        </is>
      </c>
      <c r="H13" s="13" t="inlineStr">
        <is>
          <t>Open</t>
        </is>
      </c>
      <c r="I13" s="13" t="inlineStr">
        <is>
          <t>10 min</t>
        </is>
      </c>
      <c r="J13" s="13" t="inlineStr">
        <is>
          <t>Niet te hard snoeien</t>
        </is>
      </c>
      <c r="K13" s="11">
        <f>IF($C13=Dashboard!$B$5,COUNTIF($C$5:C13,$C13),"")</f>
        <v/>
      </c>
    </row>
    <row r="14">
      <c r="A14" s="13" t="inlineStr">
        <is>
          <t>FUC-10</t>
        </is>
      </c>
      <c r="B14" s="13" t="inlineStr">
        <is>
          <t>Fuchsia</t>
        </is>
      </c>
      <c r="C14" s="13" t="inlineStr">
        <is>
          <t>September</t>
        </is>
      </c>
      <c r="D14" s="13" t="n">
        <v>2</v>
      </c>
      <c r="E14" s="13" t="inlineStr">
        <is>
          <t>Controle</t>
        </is>
      </c>
      <c r="F14" s="13" t="inlineStr">
        <is>
          <t>Controleer gezondheid en stop zware bemesting</t>
        </is>
      </c>
      <c r="G14" s="13" t="inlineStr">
        <is>
          <t>Middel</t>
        </is>
      </c>
      <c r="H14" s="13" t="inlineStr">
        <is>
          <t>Open</t>
        </is>
      </c>
      <c r="I14" s="13" t="inlineStr">
        <is>
          <t>10 min</t>
        </is>
      </c>
      <c r="J14" s="13" t="inlineStr">
        <is>
          <t>Voorbereiding najaar</t>
        </is>
      </c>
      <c r="K14" s="11">
        <f>IF($C14=Dashboard!$B$5,COUNTIF($C$5:C14,$C14),"")</f>
        <v/>
      </c>
    </row>
    <row r="15">
      <c r="A15" s="13" t="inlineStr">
        <is>
          <t>FUC-11</t>
        </is>
      </c>
      <c r="B15" s="13" t="inlineStr">
        <is>
          <t>Fuchsia</t>
        </is>
      </c>
      <c r="C15" s="13" t="inlineStr">
        <is>
          <t>Oktober</t>
        </is>
      </c>
      <c r="D15" s="13" t="n">
        <v>2</v>
      </c>
      <c r="E15" s="13" t="inlineStr">
        <is>
          <t>Beschermen</t>
        </is>
      </c>
      <c r="F15" s="13" t="inlineStr">
        <is>
          <t>Verminder watergift en bereid overwintering voor</t>
        </is>
      </c>
      <c r="G15" s="13" t="inlineStr">
        <is>
          <t>Hoog</t>
        </is>
      </c>
      <c r="H15" s="13" t="inlineStr">
        <is>
          <t>Open</t>
        </is>
      </c>
      <c r="I15" s="13" t="inlineStr">
        <is>
          <t>10 min</t>
        </is>
      </c>
      <c r="J15" s="13" t="inlineStr">
        <is>
          <t>Beschut zetten</t>
        </is>
      </c>
      <c r="K15" s="11">
        <f>IF($C15=Dashboard!$B$5,COUNTIF($C$5:C15,$C15),"")</f>
        <v/>
      </c>
    </row>
    <row r="16">
      <c r="A16" s="13" t="inlineStr">
        <is>
          <t>FUC-12</t>
        </is>
      </c>
      <c r="B16" s="13" t="inlineStr">
        <is>
          <t>Fuchsia</t>
        </is>
      </c>
      <c r="C16" s="13" t="inlineStr">
        <is>
          <t>November</t>
        </is>
      </c>
      <c r="D16" s="13" t="n">
        <v>1</v>
      </c>
      <c r="E16" s="13" t="inlineStr">
        <is>
          <t>Overwinteren</t>
        </is>
      </c>
      <c r="F16" s="13" t="inlineStr">
        <is>
          <t>Haal potten naar binnen of vorstvrij onderdak</t>
        </is>
      </c>
      <c r="G16" s="13" t="inlineStr">
        <is>
          <t>Hoog</t>
        </is>
      </c>
      <c r="H16" s="13" t="inlineStr">
        <is>
          <t>Open</t>
        </is>
      </c>
      <c r="I16" s="13" t="inlineStr">
        <is>
          <t>30 min</t>
        </is>
      </c>
      <c r="J16" s="13" t="inlineStr">
        <is>
          <t>Voor de eerste serieuze vorst</t>
        </is>
      </c>
      <c r="K16" s="11">
        <f>IF($C16=Dashboard!$B$5,COUNTIF($C$5:C16,$C16),"")</f>
        <v/>
      </c>
    </row>
    <row r="17">
      <c r="A17" s="13" t="inlineStr">
        <is>
          <t>FUC-13</t>
        </is>
      </c>
      <c r="B17" s="13" t="inlineStr">
        <is>
          <t>Fuchsia</t>
        </is>
      </c>
      <c r="C17" s="13" t="inlineStr">
        <is>
          <t>December</t>
        </is>
      </c>
      <c r="D17" s="13" t="n">
        <v>2</v>
      </c>
      <c r="E17" s="13" t="inlineStr">
        <is>
          <t>Beschermen</t>
        </is>
      </c>
      <c r="F17" s="13" t="inlineStr">
        <is>
          <t>Laat de plant rusten en controleer af en toe op uitdroging</t>
        </is>
      </c>
      <c r="G17" s="13" t="inlineStr">
        <is>
          <t>Laag</t>
        </is>
      </c>
      <c r="H17" s="13" t="inlineStr">
        <is>
          <t>Open</t>
        </is>
      </c>
      <c r="I17" s="13" t="inlineStr">
        <is>
          <t>5 min</t>
        </is>
      </c>
      <c r="J17" s="13" t="inlineStr">
        <is>
          <t>Rustperiode</t>
        </is>
      </c>
      <c r="K17" s="11">
        <f>IF($C17=Dashboard!$B$5,COUNTIF($C$5:C17,$C17),"")</f>
        <v/>
      </c>
    </row>
    <row r="18">
      <c r="A18" s="13" t="inlineStr">
        <is>
          <t>SYR-01</t>
        </is>
      </c>
      <c r="B18" s="13" t="inlineStr">
        <is>
          <t>Syringa vulgaris</t>
        </is>
      </c>
      <c r="C18" s="13" t="inlineStr">
        <is>
          <t>Mei</t>
        </is>
      </c>
      <c r="D18" s="13" t="n">
        <v>4</v>
      </c>
      <c r="E18" s="13" t="inlineStr">
        <is>
          <t>Controle</t>
        </is>
      </c>
      <c r="F18" s="13" t="inlineStr">
        <is>
          <t>Geniet van de bloei en noteer welke oudere takken na de bloei mogen worden verwijderd</t>
        </is>
      </c>
      <c r="G18" s="13" t="inlineStr">
        <is>
          <t>Laag</t>
        </is>
      </c>
      <c r="H18" s="13" t="inlineStr">
        <is>
          <t>Open</t>
        </is>
      </c>
      <c r="I18" s="13" t="n"/>
      <c r="J18" s="13" t="n"/>
      <c r="K18" s="11">
        <f>IF($C18=Dashboard!$B$5,COUNTIF($C$5:C18,$C18),"")</f>
        <v/>
      </c>
    </row>
    <row r="19">
      <c r="A19" s="13" t="inlineStr">
        <is>
          <t>SYR-02</t>
        </is>
      </c>
      <c r="B19" s="13" t="inlineStr">
        <is>
          <t>Syringa vulgaris</t>
        </is>
      </c>
      <c r="C19" s="13" t="inlineStr">
        <is>
          <t>Juni</t>
        </is>
      </c>
      <c r="D19" s="13" t="n">
        <v>2</v>
      </c>
      <c r="E19" s="13" t="inlineStr">
        <is>
          <t>Snoeien</t>
        </is>
      </c>
      <c r="F19" s="13" t="inlineStr">
        <is>
          <t>Snoei direct na de bloei: verwijder uitgebloeide pluimen en dun enkele oude takken uit</t>
        </is>
      </c>
      <c r="G19" s="13" t="inlineStr">
        <is>
          <t>Hoog</t>
        </is>
      </c>
      <c r="H19" s="13" t="inlineStr">
        <is>
          <t>Open</t>
        </is>
      </c>
      <c r="I19" s="13" t="n"/>
      <c r="J19" s="13" t="n"/>
      <c r="K19" s="11">
        <f>IF($C19=Dashboard!$B$5,COUNTIF($C$5:C19,$C19),"")</f>
        <v/>
      </c>
    </row>
    <row r="20">
      <c r="A20" s="13" t="inlineStr">
        <is>
          <t>SYR-03</t>
        </is>
      </c>
      <c r="B20" s="13" t="inlineStr">
        <is>
          <t>Syringa vulgaris</t>
        </is>
      </c>
      <c r="C20" s="13" t="inlineStr">
        <is>
          <t>Juli</t>
        </is>
      </c>
      <c r="D20" s="13" t="n">
        <v>2</v>
      </c>
      <c r="E20" s="13" t="inlineStr">
        <is>
          <t>Onderhoud</t>
        </is>
      </c>
      <c r="F20" s="13" t="inlineStr">
        <is>
          <t>Geef water bij droogte en houd de struik open van vorm</t>
        </is>
      </c>
      <c r="G20" s="13" t="inlineStr">
        <is>
          <t>Laag</t>
        </is>
      </c>
      <c r="H20" s="13" t="inlineStr">
        <is>
          <t>Open</t>
        </is>
      </c>
      <c r="I20" s="13" t="n"/>
      <c r="J20" s="13" t="n"/>
      <c r="K20" s="11">
        <f>IF($C20=Dashboard!$B$5,COUNTIF($C$5:C20,$C20),"")</f>
        <v/>
      </c>
    </row>
    <row r="21">
      <c r="A21" s="13" t="inlineStr">
        <is>
          <t>MEI-01</t>
        </is>
      </c>
      <c r="B21" s="13" t="inlineStr">
        <is>
          <t>Meidoorn</t>
        </is>
      </c>
      <c r="C21" s="13" t="inlineStr">
        <is>
          <t>Februari</t>
        </is>
      </c>
      <c r="D21" s="13" t="n">
        <v>3</v>
      </c>
      <c r="E21" s="13" t="inlineStr">
        <is>
          <t>Snoeien</t>
        </is>
      </c>
      <c r="F21" s="13" t="inlineStr">
        <is>
          <t>Voer vormsnoei uit en verwijder dood, beschadigd of kruisend hout</t>
        </is>
      </c>
      <c r="G21" s="13" t="inlineStr">
        <is>
          <t>Hoog</t>
        </is>
      </c>
      <c r="H21" s="13" t="inlineStr">
        <is>
          <t>Open</t>
        </is>
      </c>
      <c r="I21" s="13" t="n"/>
      <c r="J21" s="13" t="n"/>
      <c r="K21" s="11">
        <f>IF($C21=Dashboard!$B$5,COUNTIF($C$5:C21,$C21),"")</f>
        <v/>
      </c>
    </row>
    <row r="22">
      <c r="A22" s="13" t="inlineStr">
        <is>
          <t>MEI-02</t>
        </is>
      </c>
      <c r="B22" s="13" t="inlineStr">
        <is>
          <t>Meidoorn</t>
        </is>
      </c>
      <c r="C22" s="13" t="inlineStr">
        <is>
          <t>Maart</t>
        </is>
      </c>
      <c r="D22" s="13" t="n">
        <v>2</v>
      </c>
      <c r="E22" s="13" t="inlineStr">
        <is>
          <t>Controle</t>
        </is>
      </c>
      <c r="F22" s="13" t="inlineStr">
        <is>
          <t>Controleer structuur en werk eventuele laatste correcties bij voor het uitlopen</t>
        </is>
      </c>
      <c r="G22" s="13" t="inlineStr">
        <is>
          <t>Middel</t>
        </is>
      </c>
      <c r="H22" s="13" t="inlineStr">
        <is>
          <t>Open</t>
        </is>
      </c>
      <c r="I22" s="13" t="n"/>
      <c r="J22" s="13" t="n"/>
      <c r="K22" s="11">
        <f>IF($C22=Dashboard!$B$5,COUNTIF($C$5:C22,$C22),"")</f>
        <v/>
      </c>
    </row>
    <row r="23">
      <c r="A23" s="13" t="inlineStr">
        <is>
          <t>MEI-03</t>
        </is>
      </c>
      <c r="B23" s="13" t="inlineStr">
        <is>
          <t>Meidoorn</t>
        </is>
      </c>
      <c r="C23" s="13" t="inlineStr">
        <is>
          <t>November</t>
        </is>
      </c>
      <c r="D23" s="13" t="n">
        <v>2</v>
      </c>
      <c r="E23" s="13" t="inlineStr">
        <is>
          <t>Onderhoud</t>
        </is>
      </c>
      <c r="F23" s="13" t="inlineStr">
        <is>
          <t>Verwijder opslag, waterloten en gevallen ziek blad rond de plant</t>
        </is>
      </c>
      <c r="G23" s="13" t="inlineStr">
        <is>
          <t>Middel</t>
        </is>
      </c>
      <c r="H23" s="13" t="inlineStr">
        <is>
          <t>Open</t>
        </is>
      </c>
      <c r="I23" s="13" t="n"/>
      <c r="J23" s="13" t="n"/>
      <c r="K23" s="11">
        <f>IF($C23=Dashboard!$B$5,COUNTIF($C$5:C23,$C23),"")</f>
        <v/>
      </c>
    </row>
    <row r="24">
      <c r="A24" s="13" t="inlineStr">
        <is>
          <t>BOE-01</t>
        </is>
      </c>
      <c r="B24" s="13" t="inlineStr">
        <is>
          <t>Boerenhortensia</t>
        </is>
      </c>
      <c r="C24" s="13" t="inlineStr">
        <is>
          <t>Maart</t>
        </is>
      </c>
      <c r="D24" s="13" t="n">
        <v>2</v>
      </c>
      <c r="E24" s="13" t="inlineStr">
        <is>
          <t>Snoeien</t>
        </is>
      </c>
      <c r="F24" s="13" t="inlineStr">
        <is>
          <t>Knip alleen oude bloemen weg tot net boven het eerste sterke knoppenpaar en verwijder dode takken</t>
        </is>
      </c>
      <c r="G24" s="13" t="inlineStr">
        <is>
          <t>Hoog</t>
        </is>
      </c>
      <c r="H24" s="13" t="inlineStr">
        <is>
          <t>Open</t>
        </is>
      </c>
      <c r="I24" s="13" t="n"/>
      <c r="J24" s="13" t="n"/>
      <c r="K24" s="11">
        <f>IF($C24=Dashboard!$B$5,COUNTIF($C$5:C24,$C24),"")</f>
        <v/>
      </c>
    </row>
    <row r="25">
      <c r="A25" s="13" t="inlineStr">
        <is>
          <t>BOE-02</t>
        </is>
      </c>
      <c r="B25" s="13" t="inlineStr">
        <is>
          <t>Boerenhortensia</t>
        </is>
      </c>
      <c r="C25" s="13" t="inlineStr">
        <is>
          <t>April</t>
        </is>
      </c>
      <c r="D25" s="13" t="n">
        <v>2</v>
      </c>
      <c r="E25" s="13" t="inlineStr">
        <is>
          <t>Bemesten</t>
        </is>
      </c>
      <c r="F25" s="13" t="inlineStr">
        <is>
          <t>Geef organische mest voor hortensia's of compost rond de voet</t>
        </is>
      </c>
      <c r="G25" s="13" t="inlineStr">
        <is>
          <t>Middel</t>
        </is>
      </c>
      <c r="H25" s="13" t="inlineStr">
        <is>
          <t>Open</t>
        </is>
      </c>
      <c r="I25" s="13" t="n"/>
      <c r="J25" s="13" t="n"/>
      <c r="K25" s="11">
        <f>IF($C25=Dashboard!$B$5,COUNTIF($C$5:C25,$C25),"")</f>
        <v/>
      </c>
    </row>
    <row r="26">
      <c r="A26" s="13" t="inlineStr">
        <is>
          <t>BOE-03</t>
        </is>
      </c>
      <c r="B26" s="13" t="inlineStr">
        <is>
          <t>Boerenhortensia</t>
        </is>
      </c>
      <c r="C26" s="13" t="inlineStr">
        <is>
          <t>Juli</t>
        </is>
      </c>
      <c r="D26" s="13" t="n">
        <v>2</v>
      </c>
      <c r="E26" s="13" t="inlineStr">
        <is>
          <t>Onderhoud</t>
        </is>
      </c>
      <c r="F26" s="13" t="inlineStr">
        <is>
          <t>Controleer vocht en geef extra water tijdens warme perioden</t>
        </is>
      </c>
      <c r="G26" s="13" t="inlineStr">
        <is>
          <t>Middel</t>
        </is>
      </c>
      <c r="H26" s="13" t="inlineStr">
        <is>
          <t>Open</t>
        </is>
      </c>
      <c r="I26" s="13" t="n"/>
      <c r="J26" s="13" t="n"/>
      <c r="K26" s="11">
        <f>IF($C26=Dashboard!$B$5,COUNTIF($C$5:C26,$C26),"")</f>
        <v/>
      </c>
    </row>
    <row r="27">
      <c r="A27" s="13" t="inlineStr">
        <is>
          <t>BOE-04</t>
        </is>
      </c>
      <c r="B27" s="13" t="inlineStr">
        <is>
          <t>Boerenhortensia</t>
        </is>
      </c>
      <c r="C27" s="13" t="inlineStr">
        <is>
          <t>Augustus</t>
        </is>
      </c>
      <c r="D27" s="13" t="n">
        <v>2</v>
      </c>
      <c r="E27" s="13" t="inlineStr">
        <is>
          <t>Controle</t>
        </is>
      </c>
      <c r="F27" s="13" t="inlineStr">
        <is>
          <t>Ondersteun zware bloei indien nodig en verwijder beschadigd blad</t>
        </is>
      </c>
      <c r="G27" s="13" t="inlineStr">
        <is>
          <t>Laag</t>
        </is>
      </c>
      <c r="H27" s="13" t="inlineStr">
        <is>
          <t>Open</t>
        </is>
      </c>
      <c r="I27" s="13" t="n"/>
      <c r="J27" s="13" t="n"/>
      <c r="K27" s="11">
        <f>IF($C27=Dashboard!$B$5,COUNTIF($C$5:C27,$C27),"")</f>
        <v/>
      </c>
    </row>
    <row r="28">
      <c r="A28" s="13" t="inlineStr">
        <is>
          <t>COT-01</t>
        </is>
      </c>
      <c r="B28" s="13" t="inlineStr">
        <is>
          <t>Cotoneaster horizontalis</t>
        </is>
      </c>
      <c r="C28" s="13" t="inlineStr">
        <is>
          <t>Maart</t>
        </is>
      </c>
      <c r="D28" s="13" t="n">
        <v>3</v>
      </c>
      <c r="E28" s="13" t="inlineStr">
        <is>
          <t>Snoeien</t>
        </is>
      </c>
      <c r="F28" s="13" t="inlineStr">
        <is>
          <t>Knip uitstekende of ongewenste scheuten licht terug en behoud de gelaagde vorm</t>
        </is>
      </c>
      <c r="G28" s="13" t="inlineStr">
        <is>
          <t>Middel</t>
        </is>
      </c>
      <c r="H28" s="13" t="inlineStr">
        <is>
          <t>Open</t>
        </is>
      </c>
      <c r="I28" s="13" t="n"/>
      <c r="J28" s="13" t="n"/>
      <c r="K28" s="11">
        <f>IF($C28=Dashboard!$B$5,COUNTIF($C$5:C28,$C28),"")</f>
        <v/>
      </c>
    </row>
    <row r="29">
      <c r="A29" s="13" t="inlineStr">
        <is>
          <t>COT-02</t>
        </is>
      </c>
      <c r="B29" s="13" t="inlineStr">
        <is>
          <t>Cotoneaster horizontalis</t>
        </is>
      </c>
      <c r="C29" s="13" t="inlineStr">
        <is>
          <t>Juni</t>
        </is>
      </c>
      <c r="D29" s="13" t="n">
        <v>2</v>
      </c>
      <c r="E29" s="13" t="inlineStr">
        <is>
          <t>Controle</t>
        </is>
      </c>
      <c r="F29" s="13" t="inlineStr">
        <is>
          <t>Controleer na de bloei of lichte vormcorrectie nodig is</t>
        </is>
      </c>
      <c r="G29" s="13" t="inlineStr">
        <is>
          <t>Laag</t>
        </is>
      </c>
      <c r="H29" s="13" t="inlineStr">
        <is>
          <t>Open</t>
        </is>
      </c>
      <c r="I29" s="13" t="n"/>
      <c r="J29" s="13" t="n"/>
      <c r="K29" s="11">
        <f>IF($C29=Dashboard!$B$5,COUNTIF($C$5:C29,$C29),"")</f>
        <v/>
      </c>
    </row>
    <row r="30">
      <c r="A30" s="13" t="inlineStr">
        <is>
          <t>COT-03</t>
        </is>
      </c>
      <c r="B30" s="13" t="inlineStr">
        <is>
          <t>Cotoneaster horizontalis</t>
        </is>
      </c>
      <c r="C30" s="13" t="inlineStr">
        <is>
          <t>September</t>
        </is>
      </c>
      <c r="D30" s="13" t="n">
        <v>2</v>
      </c>
      <c r="E30" s="13" t="inlineStr">
        <is>
          <t>Onderhoud</t>
        </is>
      </c>
      <c r="F30" s="13" t="inlineStr">
        <is>
          <t>Werk de vorm bij en verwijder dode of beschadigde takjes</t>
        </is>
      </c>
      <c r="G30" s="13" t="inlineStr">
        <is>
          <t>Laag</t>
        </is>
      </c>
      <c r="H30" s="13" t="inlineStr">
        <is>
          <t>Open</t>
        </is>
      </c>
      <c r="I30" s="13" t="n"/>
      <c r="J30" s="13" t="n"/>
      <c r="K30" s="11">
        <f>IF($C30=Dashboard!$B$5,COUNTIF($C$5:C30,$C30),"")</f>
        <v/>
      </c>
    </row>
    <row r="31">
      <c r="A31" s="13" t="inlineStr">
        <is>
          <t>PAE-01</t>
        </is>
      </c>
      <c r="B31" s="13" t="inlineStr">
        <is>
          <t>Paeonia</t>
        </is>
      </c>
      <c r="C31" s="13" t="inlineStr">
        <is>
          <t>Maart</t>
        </is>
      </c>
      <c r="D31" s="13" t="n">
        <v>2</v>
      </c>
      <c r="E31" s="13" t="inlineStr">
        <is>
          <t>Controle</t>
        </is>
      </c>
      <c r="F31" s="13" t="inlineStr">
        <is>
          <t>Controleer op gezonde uitlopers en bescherm jonge scheuten tegen late vorst</t>
        </is>
      </c>
      <c r="G31" s="13" t="inlineStr">
        <is>
          <t>Middel</t>
        </is>
      </c>
      <c r="H31" s="13" t="inlineStr">
        <is>
          <t>Open</t>
        </is>
      </c>
      <c r="I31" s="13" t="n"/>
      <c r="J31" s="13" t="n"/>
      <c r="K31" s="11">
        <f>IF($C31=Dashboard!$B$5,COUNTIF($C$5:C31,$C31),"")</f>
        <v/>
      </c>
    </row>
    <row r="32">
      <c r="A32" s="13" t="inlineStr">
        <is>
          <t>PAE-02</t>
        </is>
      </c>
      <c r="B32" s="13" t="inlineStr">
        <is>
          <t>Paeonia</t>
        </is>
      </c>
      <c r="C32" s="13" t="inlineStr">
        <is>
          <t>April</t>
        </is>
      </c>
      <c r="D32" s="13" t="n">
        <v>2</v>
      </c>
      <c r="E32" s="13" t="inlineStr">
        <is>
          <t>Bemesten</t>
        </is>
      </c>
      <c r="F32" s="13" t="inlineStr">
        <is>
          <t>Geef een lichte organische bemesting rond de plant, niet op de kroon</t>
        </is>
      </c>
      <c r="G32" s="13" t="inlineStr">
        <is>
          <t>Middel</t>
        </is>
      </c>
      <c r="H32" s="13" t="inlineStr">
        <is>
          <t>Open</t>
        </is>
      </c>
      <c r="I32" s="13" t="n"/>
      <c r="J32" s="13" t="n"/>
      <c r="K32" s="11">
        <f>IF($C32=Dashboard!$B$5,COUNTIF($C$5:C32,$C32),"")</f>
        <v/>
      </c>
    </row>
    <row r="33">
      <c r="A33" s="13" t="inlineStr">
        <is>
          <t>PAE-03</t>
        </is>
      </c>
      <c r="B33" s="13" t="inlineStr">
        <is>
          <t>Paeonia</t>
        </is>
      </c>
      <c r="C33" s="13" t="inlineStr">
        <is>
          <t>Juni</t>
        </is>
      </c>
      <c r="D33" s="13" t="n">
        <v>2</v>
      </c>
      <c r="E33" s="13" t="inlineStr">
        <is>
          <t>Onderhoud</t>
        </is>
      </c>
      <c r="F33" s="13" t="inlineStr">
        <is>
          <t>Verwijder uitgebloeide bloemen als je geen zaadvorming wilt</t>
        </is>
      </c>
      <c r="G33" s="13" t="inlineStr">
        <is>
          <t>Laag</t>
        </is>
      </c>
      <c r="H33" s="13" t="inlineStr">
        <is>
          <t>Open</t>
        </is>
      </c>
      <c r="I33" s="13" t="n"/>
      <c r="J33" s="13" t="n"/>
      <c r="K33" s="11">
        <f>IF($C33=Dashboard!$B$5,COUNTIF($C$5:C33,$C33),"")</f>
        <v/>
      </c>
    </row>
    <row r="34">
      <c r="A34" s="13" t="inlineStr">
        <is>
          <t>PAE-04</t>
        </is>
      </c>
      <c r="B34" s="13" t="inlineStr">
        <is>
          <t>Paeonia</t>
        </is>
      </c>
      <c r="C34" s="13" t="inlineStr">
        <is>
          <t>Oktober</t>
        </is>
      </c>
      <c r="D34" s="13" t="n">
        <v>3</v>
      </c>
      <c r="E34" s="13" t="inlineStr">
        <is>
          <t>Snoeien</t>
        </is>
      </c>
      <c r="F34" s="13" t="inlineStr">
        <is>
          <t>Knip afgestorven blad na de eerste koude nachten terug tot net boven de grond</t>
        </is>
      </c>
      <c r="G34" s="13" t="inlineStr">
        <is>
          <t>Hoog</t>
        </is>
      </c>
      <c r="H34" s="13" t="inlineStr">
        <is>
          <t>Open</t>
        </is>
      </c>
      <c r="I34" s="13" t="n"/>
      <c r="J34" s="13" t="n"/>
      <c r="K34" s="11">
        <f>IF($C34=Dashboard!$B$5,COUNTIF($C$5:C34,$C34),"")</f>
        <v/>
      </c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1">
        <f>IF($C35=Dashboard!$B$5,COUNTIF($C$5:C35,$C35),"")</f>
        <v/>
      </c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1">
        <f>IF($C36=Dashboard!$B$5,COUNTIF($C$5:C36,$C36),"")</f>
        <v/>
      </c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1">
        <f>IF($C37=Dashboard!$B$5,COUNTIF($C$5:C37,$C37),"")</f>
        <v/>
      </c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1">
        <f>IF($C38=Dashboard!$B$5,COUNTIF($C$5:C38,$C38),"")</f>
        <v/>
      </c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1">
        <f>IF($C39=Dashboard!$B$5,COUNTIF($C$5:C39,$C39),"")</f>
        <v/>
      </c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1">
        <f>IF($C40=Dashboard!$B$5,COUNTIF($C$5:C40,$C40),"")</f>
        <v/>
      </c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1">
        <f>IF($C41=Dashboard!$B$5,COUNTIF($C$5:C41,$C41),"")</f>
        <v/>
      </c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1">
        <f>IF($C42=Dashboard!$B$5,COUNTIF($C$5:C42,$C42),"")</f>
        <v/>
      </c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1">
        <f>IF($C43=Dashboard!$B$5,COUNTIF($C$5:C43,$C43),"")</f>
        <v/>
      </c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1">
        <f>IF($C44=Dashboard!$B$5,COUNTIF($C$5:C44,$C44),"")</f>
        <v/>
      </c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1">
        <f>IF($C45=Dashboard!$B$5,COUNTIF($C$5:C45,$C45),"")</f>
        <v/>
      </c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1">
        <f>IF($C46=Dashboard!$B$5,COUNTIF($C$5:C46,$C46),"")</f>
        <v/>
      </c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1">
        <f>IF($C47=Dashboard!$B$5,COUNTIF($C$5:C47,$C47),"")</f>
        <v/>
      </c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1">
        <f>IF($C48=Dashboard!$B$5,COUNTIF($C$5:C48,$C48),"")</f>
        <v/>
      </c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1">
        <f>IF($C49=Dashboard!$B$5,COUNTIF($C$5:C49,$C49),"")</f>
        <v/>
      </c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1">
        <f>IF($C50=Dashboard!$B$5,COUNTIF($C$5:C50,$C50),"")</f>
        <v/>
      </c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1">
        <f>IF($C51=Dashboard!$B$5,COUNTIF($C$5:C51,$C51),"")</f>
        <v/>
      </c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1">
        <f>IF($C52=Dashboard!$B$5,COUNTIF($C$5:C52,$C52),"")</f>
        <v/>
      </c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1">
        <f>IF($C53=Dashboard!$B$5,COUNTIF($C$5:C53,$C53),"")</f>
        <v/>
      </c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1">
        <f>IF($C54=Dashboard!$B$5,COUNTIF($C$5:C54,$C54),"")</f>
        <v/>
      </c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1">
        <f>IF($C55=Dashboard!$B$5,COUNTIF($C$5:C55,$C55),"")</f>
        <v/>
      </c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1">
        <f>IF($C56=Dashboard!$B$5,COUNTIF($C$5:C56,$C56),"")</f>
        <v/>
      </c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1">
        <f>IF($C57=Dashboard!$B$5,COUNTIF($C$5:C57,$C57),"")</f>
        <v/>
      </c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1">
        <f>IF($C58=Dashboard!$B$5,COUNTIF($C$5:C58,$C58),"")</f>
        <v/>
      </c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1">
        <f>IF($C59=Dashboard!$B$5,COUNTIF($C$5:C59,$C59),"")</f>
        <v/>
      </c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1">
        <f>IF($C60=Dashboard!$B$5,COUNTIF($C$5:C60,$C60),"")</f>
        <v/>
      </c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1">
        <f>IF($C61=Dashboard!$B$5,COUNTIF($C$5:C61,$C61),"")</f>
        <v/>
      </c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1">
        <f>IF($C62=Dashboard!$B$5,COUNTIF($C$5:C62,$C62),"")</f>
        <v/>
      </c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1">
        <f>IF($C63=Dashboard!$B$5,COUNTIF($C$5:C63,$C63),"")</f>
        <v/>
      </c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1">
        <f>IF($C64=Dashboard!$B$5,COUNTIF($C$5:C64,$C64),"")</f>
        <v/>
      </c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1">
        <f>IF($C65=Dashboard!$B$5,COUNTIF($C$5:C65,$C65),"")</f>
        <v/>
      </c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1">
        <f>IF($C66=Dashboard!$B$5,COUNTIF($C$5:C66,$C66),"")</f>
        <v/>
      </c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1">
        <f>IF($C67=Dashboard!$B$5,COUNTIF($C$5:C67,$C67),"")</f>
        <v/>
      </c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1">
        <f>IF($C68=Dashboard!$B$5,COUNTIF($C$5:C68,$C68),"")</f>
        <v/>
      </c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1">
        <f>IF($C69=Dashboard!$B$5,COUNTIF($C$5:C69,$C69),"")</f>
        <v/>
      </c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1">
        <f>IF($C70=Dashboard!$B$5,COUNTIF($C$5:C70,$C70),"")</f>
        <v/>
      </c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1">
        <f>IF($C71=Dashboard!$B$5,COUNTIF($C$5:C71,$C71),"")</f>
        <v/>
      </c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1">
        <f>IF($C72=Dashboard!$B$5,COUNTIF($C$5:C72,$C72),"")</f>
        <v/>
      </c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1">
        <f>IF($C73=Dashboard!$B$5,COUNTIF($C$5:C73,$C73),"")</f>
        <v/>
      </c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1">
        <f>IF($C74=Dashboard!$B$5,COUNTIF($C$5:C74,$C74),"")</f>
        <v/>
      </c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1">
        <f>IF($C75=Dashboard!$B$5,COUNTIF($C$5:C75,$C75),"")</f>
        <v/>
      </c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1">
        <f>IF($C76=Dashboard!$B$5,COUNTIF($C$5:C76,$C76),"")</f>
        <v/>
      </c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1">
        <f>IF($C77=Dashboard!$B$5,COUNTIF($C$5:C77,$C77),"")</f>
        <v/>
      </c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1">
        <f>IF($C78=Dashboard!$B$5,COUNTIF($C$5:C78,$C78),"")</f>
        <v/>
      </c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1">
        <f>IF($C79=Dashboard!$B$5,COUNTIF($C$5:C79,$C79),"")</f>
        <v/>
      </c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1">
        <f>IF($C80=Dashboard!$B$5,COUNTIF($C$5:C80,$C80),"")</f>
        <v/>
      </c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1">
        <f>IF($C81=Dashboard!$B$5,COUNTIF($C$5:C81,$C81),"")</f>
        <v/>
      </c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1">
        <f>IF($C82=Dashboard!$B$5,COUNTIF($C$5:C82,$C82),"")</f>
        <v/>
      </c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1">
        <f>IF($C83=Dashboard!$B$5,COUNTIF($C$5:C83,$C83),"")</f>
        <v/>
      </c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1">
        <f>IF($C84=Dashboard!$B$5,COUNTIF($C$5:C84,$C84),"")</f>
        <v/>
      </c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1">
        <f>IF($C85=Dashboard!$B$5,COUNTIF($C$5:C85,$C85),"")</f>
        <v/>
      </c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1">
        <f>IF($C86=Dashboard!$B$5,COUNTIF($C$5:C86,$C86),"")</f>
        <v/>
      </c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1">
        <f>IF($C87=Dashboard!$B$5,COUNTIF($C$5:C87,$C87),"")</f>
        <v/>
      </c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1">
        <f>IF($C88=Dashboard!$B$5,COUNTIF($C$5:C88,$C88),"")</f>
        <v/>
      </c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1">
        <f>IF($C89=Dashboard!$B$5,COUNTIF($C$5:C89,$C89),"")</f>
        <v/>
      </c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1">
        <f>IF($C90=Dashboard!$B$5,COUNTIF($C$5:C90,$C90),"")</f>
        <v/>
      </c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1">
        <f>IF($C91=Dashboard!$B$5,COUNTIF($C$5:C91,$C91),"")</f>
        <v/>
      </c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1">
        <f>IF($C92=Dashboard!$B$5,COUNTIF($C$5:C92,$C92),"")</f>
        <v/>
      </c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1">
        <f>IF($C93=Dashboard!$B$5,COUNTIF($C$5:C93,$C93),"")</f>
        <v/>
      </c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1">
        <f>IF($C94=Dashboard!$B$5,COUNTIF($C$5:C94,$C94),"")</f>
        <v/>
      </c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1">
        <f>IF($C95=Dashboard!$B$5,COUNTIF($C$5:C95,$C95),"")</f>
        <v/>
      </c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1">
        <f>IF($C96=Dashboard!$B$5,COUNTIF($C$5:C96,$C96),"")</f>
        <v/>
      </c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1">
        <f>IF($C97=Dashboard!$B$5,COUNTIF($C$5:C97,$C97),"")</f>
        <v/>
      </c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1">
        <f>IF($C98=Dashboard!$B$5,COUNTIF($C$5:C98,$C98),"")</f>
        <v/>
      </c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1">
        <f>IF($C99=Dashboard!$B$5,COUNTIF($C$5:C99,$C99),"")</f>
        <v/>
      </c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1">
        <f>IF($C100=Dashboard!$B$5,COUNTIF($C$5:C100,$C100),"")</f>
        <v/>
      </c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1">
        <f>IF($C101=Dashboard!$B$5,COUNTIF($C$5:C101,$C101),"")</f>
        <v/>
      </c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1">
        <f>IF($C102=Dashboard!$B$5,COUNTIF($C$5:C102,$C102),"")</f>
        <v/>
      </c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1">
        <f>IF($C103=Dashboard!$B$5,COUNTIF($C$5:C103,$C103),"")</f>
        <v/>
      </c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1">
        <f>IF($C104=Dashboard!$B$5,COUNTIF($C$5:C104,$C104),"")</f>
        <v/>
      </c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1">
        <f>IF($C105=Dashboard!$B$5,COUNTIF($C$5:C105,$C105),"")</f>
        <v/>
      </c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1">
        <f>IF($C106=Dashboard!$B$5,COUNTIF($C$5:C106,$C106),"")</f>
        <v/>
      </c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1">
        <f>IF($C107=Dashboard!$B$5,COUNTIF($C$5:C107,$C107),"")</f>
        <v/>
      </c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1">
        <f>IF($C108=Dashboard!$B$5,COUNTIF($C$5:C108,$C108),"")</f>
        <v/>
      </c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1">
        <f>IF($C109=Dashboard!$B$5,COUNTIF($C$5:C109,$C109),"")</f>
        <v/>
      </c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1">
        <f>IF($C110=Dashboard!$B$5,COUNTIF($C$5:C110,$C110),"")</f>
        <v/>
      </c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1">
        <f>IF($C111=Dashboard!$B$5,COUNTIF($C$5:C111,$C111),"")</f>
        <v/>
      </c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1">
        <f>IF($C112=Dashboard!$B$5,COUNTIF($C$5:C112,$C112),"")</f>
        <v/>
      </c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1">
        <f>IF($C113=Dashboard!$B$5,COUNTIF($C$5:C113,$C113),"")</f>
        <v/>
      </c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1">
        <f>IF($C114=Dashboard!$B$5,COUNTIF($C$5:C114,$C114),"")</f>
        <v/>
      </c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1">
        <f>IF($C115=Dashboard!$B$5,COUNTIF($C$5:C115,$C115),"")</f>
        <v/>
      </c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1">
        <f>IF($C116=Dashboard!$B$5,COUNTIF($C$5:C116,$C116),"")</f>
        <v/>
      </c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1">
        <f>IF($C117=Dashboard!$B$5,COUNTIF($C$5:C117,$C117),"")</f>
        <v/>
      </c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1">
        <f>IF($C118=Dashboard!$B$5,COUNTIF($C$5:C118,$C118),"")</f>
        <v/>
      </c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1">
        <f>IF($C119=Dashboard!$B$5,COUNTIF($C$5:C119,$C119),"")</f>
        <v/>
      </c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1">
        <f>IF($C120=Dashboard!$B$5,COUNTIF($C$5:C120,$C120),"")</f>
        <v/>
      </c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1">
        <f>IF($C121=Dashboard!$B$5,COUNTIF($C$5:C121,$C121),"")</f>
        <v/>
      </c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1">
        <f>IF($C122=Dashboard!$B$5,COUNTIF($C$5:C122,$C122),"")</f>
        <v/>
      </c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1">
        <f>IF($C123=Dashboard!$B$5,COUNTIF($C$5:C123,$C123),"")</f>
        <v/>
      </c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1">
        <f>IF($C124=Dashboard!$B$5,COUNTIF($C$5:C124,$C124),"")</f>
        <v/>
      </c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1">
        <f>IF($C125=Dashboard!$B$5,COUNTIF($C$5:C125,$C125),"")</f>
        <v/>
      </c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1">
        <f>IF($C126=Dashboard!$B$5,COUNTIF($C$5:C126,$C126),"")</f>
        <v/>
      </c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1">
        <f>IF($C127=Dashboard!$B$5,COUNTIF($C$5:C127,$C127),"")</f>
        <v/>
      </c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1">
        <f>IF($C128=Dashboard!$B$5,COUNTIF($C$5:C128,$C128),"")</f>
        <v/>
      </c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1">
        <f>IF($C129=Dashboard!$B$5,COUNTIF($C$5:C129,$C129),"")</f>
        <v/>
      </c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1">
        <f>IF($C130=Dashboard!$B$5,COUNTIF($C$5:C130,$C130),"")</f>
        <v/>
      </c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1">
        <f>IF($C131=Dashboard!$B$5,COUNTIF($C$5:C131,$C131),"")</f>
        <v/>
      </c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1">
        <f>IF($C132=Dashboard!$B$5,COUNTIF($C$5:C132,$C132),"")</f>
        <v/>
      </c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1">
        <f>IF($C133=Dashboard!$B$5,COUNTIF($C$5:C133,$C133),"")</f>
        <v/>
      </c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1">
        <f>IF($C134=Dashboard!$B$5,COUNTIF($C$5:C134,$C134),"")</f>
        <v/>
      </c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1">
        <f>IF($C135=Dashboard!$B$5,COUNTIF($C$5:C135,$C135),"")</f>
        <v/>
      </c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1">
        <f>IF($C136=Dashboard!$B$5,COUNTIF($C$5:C136,$C136),"")</f>
        <v/>
      </c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1">
        <f>IF($C137=Dashboard!$B$5,COUNTIF($C$5:C137,$C137),"")</f>
        <v/>
      </c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1">
        <f>IF($C138=Dashboard!$B$5,COUNTIF($C$5:C138,$C138),"")</f>
        <v/>
      </c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1">
        <f>IF($C139=Dashboard!$B$5,COUNTIF($C$5:C139,$C139),"")</f>
        <v/>
      </c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1">
        <f>IF($C140=Dashboard!$B$5,COUNTIF($C$5:C140,$C140),"")</f>
        <v/>
      </c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1">
        <f>IF($C141=Dashboard!$B$5,COUNTIF($C$5:C141,$C141),"")</f>
        <v/>
      </c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1">
        <f>IF($C142=Dashboard!$B$5,COUNTIF($C$5:C142,$C142),"")</f>
        <v/>
      </c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1">
        <f>IF($C143=Dashboard!$B$5,COUNTIF($C$5:C143,$C143),"")</f>
        <v/>
      </c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1">
        <f>IF($C144=Dashboard!$B$5,COUNTIF($C$5:C144,$C144),"")</f>
        <v/>
      </c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1">
        <f>IF($C145=Dashboard!$B$5,COUNTIF($C$5:C145,$C145),"")</f>
        <v/>
      </c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1">
        <f>IF($C146=Dashboard!$B$5,COUNTIF($C$5:C146,$C146),"")</f>
        <v/>
      </c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1">
        <f>IF($C147=Dashboard!$B$5,COUNTIF($C$5:C147,$C147),"")</f>
        <v/>
      </c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1">
        <f>IF($C148=Dashboard!$B$5,COUNTIF($C$5:C148,$C148),"")</f>
        <v/>
      </c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1">
        <f>IF($C149=Dashboard!$B$5,COUNTIF($C$5:C149,$C149),"")</f>
        <v/>
      </c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1">
        <f>IF($C150=Dashboard!$B$5,COUNTIF($C$5:C150,$C150),"")</f>
        <v/>
      </c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1">
        <f>IF($C151=Dashboard!$B$5,COUNTIF($C$5:C151,$C151),"")</f>
        <v/>
      </c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1">
        <f>IF($C152=Dashboard!$B$5,COUNTIF($C$5:C152,$C152),"")</f>
        <v/>
      </c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1">
        <f>IF($C153=Dashboard!$B$5,COUNTIF($C$5:C153,$C153),"")</f>
        <v/>
      </c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1">
        <f>IF($C154=Dashboard!$B$5,COUNTIF($C$5:C154,$C154),"")</f>
        <v/>
      </c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1">
        <f>IF($C155=Dashboard!$B$5,COUNTIF($C$5:C155,$C155),"")</f>
        <v/>
      </c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1">
        <f>IF($C156=Dashboard!$B$5,COUNTIF($C$5:C156,$C156),"")</f>
        <v/>
      </c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1">
        <f>IF($C157=Dashboard!$B$5,COUNTIF($C$5:C157,$C157),"")</f>
        <v/>
      </c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1">
        <f>IF($C158=Dashboard!$B$5,COUNTIF($C$5:C158,$C158),"")</f>
        <v/>
      </c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1">
        <f>IF($C159=Dashboard!$B$5,COUNTIF($C$5:C159,$C159),"")</f>
        <v/>
      </c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1">
        <f>IF($C160=Dashboard!$B$5,COUNTIF($C$5:C160,$C160),"")</f>
        <v/>
      </c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1">
        <f>IF($C161=Dashboard!$B$5,COUNTIF($C$5:C161,$C161),"")</f>
        <v/>
      </c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1">
        <f>IF($C162=Dashboard!$B$5,COUNTIF($C$5:C162,$C162),"")</f>
        <v/>
      </c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1">
        <f>IF($C163=Dashboard!$B$5,COUNTIF($C$5:C163,$C163),"")</f>
        <v/>
      </c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1">
        <f>IF($C164=Dashboard!$B$5,COUNTIF($C$5:C164,$C164),"")</f>
        <v/>
      </c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1">
        <f>IF($C165=Dashboard!$B$5,COUNTIF($C$5:C165,$C165),"")</f>
        <v/>
      </c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1">
        <f>IF($C166=Dashboard!$B$5,COUNTIF($C$5:C166,$C166),"")</f>
        <v/>
      </c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1">
        <f>IF($C167=Dashboard!$B$5,COUNTIF($C$5:C167,$C167),"")</f>
        <v/>
      </c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1">
        <f>IF($C168=Dashboard!$B$5,COUNTIF($C$5:C168,$C168),"")</f>
        <v/>
      </c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1">
        <f>IF($C169=Dashboard!$B$5,COUNTIF($C$5:C169,$C169),"")</f>
        <v/>
      </c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1">
        <f>IF($C170=Dashboard!$B$5,COUNTIF($C$5:C170,$C170),"")</f>
        <v/>
      </c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1">
        <f>IF($C171=Dashboard!$B$5,COUNTIF($C$5:C171,$C171),"")</f>
        <v/>
      </c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1">
        <f>IF($C172=Dashboard!$B$5,COUNTIF($C$5:C172,$C172),"")</f>
        <v/>
      </c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1">
        <f>IF($C173=Dashboard!$B$5,COUNTIF($C$5:C173,$C173),"")</f>
        <v/>
      </c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1">
        <f>IF($C174=Dashboard!$B$5,COUNTIF($C$5:C174,$C174),"")</f>
        <v/>
      </c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1">
        <f>IF($C175=Dashboard!$B$5,COUNTIF($C$5:C175,$C175),"")</f>
        <v/>
      </c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1">
        <f>IF($C176=Dashboard!$B$5,COUNTIF($C$5:C176,$C176),"")</f>
        <v/>
      </c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1">
        <f>IF($C177=Dashboard!$B$5,COUNTIF($C$5:C177,$C177),"")</f>
        <v/>
      </c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1">
        <f>IF($C178=Dashboard!$B$5,COUNTIF($C$5:C178,$C178),"")</f>
        <v/>
      </c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1">
        <f>IF($C179=Dashboard!$B$5,COUNTIF($C$5:C179,$C179),"")</f>
        <v/>
      </c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1">
        <f>IF($C180=Dashboard!$B$5,COUNTIF($C$5:C180,$C180),"")</f>
        <v/>
      </c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1">
        <f>IF($C181=Dashboard!$B$5,COUNTIF($C$5:C181,$C181),"")</f>
        <v/>
      </c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1">
        <f>IF($C182=Dashboard!$B$5,COUNTIF($C$5:C182,$C182),"")</f>
        <v/>
      </c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1">
        <f>IF($C183=Dashboard!$B$5,COUNTIF($C$5:C183,$C183),"")</f>
        <v/>
      </c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1">
        <f>IF($C184=Dashboard!$B$5,COUNTIF($C$5:C184,$C184),"")</f>
        <v/>
      </c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1">
        <f>IF($C185=Dashboard!$B$5,COUNTIF($C$5:C185,$C185),"")</f>
        <v/>
      </c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1">
        <f>IF($C186=Dashboard!$B$5,COUNTIF($C$5:C186,$C186),"")</f>
        <v/>
      </c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1">
        <f>IF($C187=Dashboard!$B$5,COUNTIF($C$5:C187,$C187),"")</f>
        <v/>
      </c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1">
        <f>IF($C188=Dashboard!$B$5,COUNTIF($C$5:C188,$C188),"")</f>
        <v/>
      </c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1">
        <f>IF($C189=Dashboard!$B$5,COUNTIF($C$5:C189,$C189),"")</f>
        <v/>
      </c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1">
        <f>IF($C190=Dashboard!$B$5,COUNTIF($C$5:C190,$C190),"")</f>
        <v/>
      </c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1">
        <f>IF($C191=Dashboard!$B$5,COUNTIF($C$5:C191,$C191),"")</f>
        <v/>
      </c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1">
        <f>IF($C192=Dashboard!$B$5,COUNTIF($C$5:C192,$C192),"")</f>
        <v/>
      </c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1">
        <f>IF($C193=Dashboard!$B$5,COUNTIF($C$5:C193,$C193),"")</f>
        <v/>
      </c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1">
        <f>IF($C194=Dashboard!$B$5,COUNTIF($C$5:C194,$C194),"")</f>
        <v/>
      </c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1">
        <f>IF($C195=Dashboard!$B$5,COUNTIF($C$5:C195,$C195),"")</f>
        <v/>
      </c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1">
        <f>IF($C196=Dashboard!$B$5,COUNTIF($C$5:C196,$C196),"")</f>
        <v/>
      </c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1">
        <f>IF($C197=Dashboard!$B$5,COUNTIF($C$5:C197,$C197),"")</f>
        <v/>
      </c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1">
        <f>IF($C198=Dashboard!$B$5,COUNTIF($C$5:C198,$C198),"")</f>
        <v/>
      </c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1">
        <f>IF($C199=Dashboard!$B$5,COUNTIF($C$5:C199,$C199),"")</f>
        <v/>
      </c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1">
        <f>IF($C200=Dashboard!$B$5,COUNTIF($C$5:C200,$C200),"")</f>
        <v/>
      </c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1">
        <f>IF($C201=Dashboard!$B$5,COUNTIF($C$5:C201,$C201),"")</f>
        <v/>
      </c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1">
        <f>IF($C202=Dashboard!$B$5,COUNTIF($C$5:C202,$C202),"")</f>
        <v/>
      </c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1">
        <f>IF($C203=Dashboard!$B$5,COUNTIF($C$5:C203,$C203),"")</f>
        <v/>
      </c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1">
        <f>IF($C204=Dashboard!$B$5,COUNTIF($C$5:C204,$C204),"")</f>
        <v/>
      </c>
    </row>
  </sheetData>
  <mergeCells count="2">
    <mergeCell ref="A2:K2"/>
    <mergeCell ref="A1:K1"/>
  </mergeCells>
  <conditionalFormatting sqref="H5:H204">
    <cfRule type="expression" priority="1" dxfId="0">
      <formula>H5="Gereed"</formula>
    </cfRule>
    <cfRule type="expression" priority="2" dxfId="1">
      <formula>H5="Uitgesteld"</formula>
    </cfRule>
    <cfRule type="expression" priority="3" dxfId="2">
      <formula>H5="Open"</formula>
    </cfRule>
  </conditionalFormatting>
  <conditionalFormatting sqref="G5:G204">
    <cfRule type="expression" priority="4" dxfId="3">
      <formula>G5="Hoog"</formula>
    </cfRule>
    <cfRule type="expression" priority="5" dxfId="4">
      <formula>G5="Middel"</formula>
    </cfRule>
    <cfRule type="expression" priority="6" dxfId="0">
      <formula>G5="Laag"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Jaaroverzicht per plant</t>
        </is>
      </c>
    </row>
    <row r="2">
      <c r="A2" s="2" t="inlineStr">
        <is>
          <t>Warmtekaart: het cijfer is het aantal taken in die maand. Gebruik de Takenlijst voor de exacte acties.</t>
        </is>
      </c>
    </row>
    <row r="4">
      <c r="A4" s="14" t="inlineStr">
        <is>
          <t>Plant</t>
        </is>
      </c>
      <c r="B4" s="14" t="inlineStr">
        <is>
          <t>Januari</t>
        </is>
      </c>
      <c r="C4" s="14" t="inlineStr">
        <is>
          <t>Februari</t>
        </is>
      </c>
      <c r="D4" s="14" t="inlineStr">
        <is>
          <t>Maart</t>
        </is>
      </c>
      <c r="E4" s="14" t="inlineStr">
        <is>
          <t>April</t>
        </is>
      </c>
      <c r="F4" s="14" t="inlineStr">
        <is>
          <t>Mei</t>
        </is>
      </c>
      <c r="G4" s="14" t="inlineStr">
        <is>
          <t>Juni</t>
        </is>
      </c>
      <c r="H4" s="14" t="inlineStr">
        <is>
          <t>Juli</t>
        </is>
      </c>
      <c r="I4" s="14" t="inlineStr">
        <is>
          <t>Augustus</t>
        </is>
      </c>
      <c r="J4" s="14" t="inlineStr">
        <is>
          <t>September</t>
        </is>
      </c>
      <c r="K4" s="14" t="inlineStr">
        <is>
          <t>Oktober</t>
        </is>
      </c>
      <c r="L4" s="14" t="inlineStr">
        <is>
          <t>November</t>
        </is>
      </c>
      <c r="M4" s="14" t="inlineStr">
        <is>
          <t>December</t>
        </is>
      </c>
      <c r="N4" s="14" t="inlineStr">
        <is>
          <t>Totaal</t>
        </is>
      </c>
    </row>
    <row r="5">
      <c r="A5" s="15">
        <f>IF(Plantregister!A5="","",Plantregister!A5)</f>
        <v/>
      </c>
      <c r="B5" s="16">
        <f>IF($A5="","",COUNTIFS(Takenlijst!$B$5:$B$204,$A5,Takenlijst!$C$5:$C$204,B$4))</f>
        <v/>
      </c>
      <c r="C5" s="16">
        <f>IF($A5="","",COUNTIFS(Takenlijst!$B$5:$B$204,$A5,Takenlijst!$C$5:$C$204,C$4))</f>
        <v/>
      </c>
      <c r="D5" s="16">
        <f>IF($A5="","",COUNTIFS(Takenlijst!$B$5:$B$204,$A5,Takenlijst!$C$5:$C$204,D$4))</f>
        <v/>
      </c>
      <c r="E5" s="16">
        <f>IF($A5="","",COUNTIFS(Takenlijst!$B$5:$B$204,$A5,Takenlijst!$C$5:$C$204,E$4))</f>
        <v/>
      </c>
      <c r="F5" s="16">
        <f>IF($A5="","",COUNTIFS(Takenlijst!$B$5:$B$204,$A5,Takenlijst!$C$5:$C$204,F$4))</f>
        <v/>
      </c>
      <c r="G5" s="16">
        <f>IF($A5="","",COUNTIFS(Takenlijst!$B$5:$B$204,$A5,Takenlijst!$C$5:$C$204,G$4))</f>
        <v/>
      </c>
      <c r="H5" s="16">
        <f>IF($A5="","",COUNTIFS(Takenlijst!$B$5:$B$204,$A5,Takenlijst!$C$5:$C$204,H$4))</f>
        <v/>
      </c>
      <c r="I5" s="16">
        <f>IF($A5="","",COUNTIFS(Takenlijst!$B$5:$B$204,$A5,Takenlijst!$C$5:$C$204,I$4))</f>
        <v/>
      </c>
      <c r="J5" s="16">
        <f>IF($A5="","",COUNTIFS(Takenlijst!$B$5:$B$204,$A5,Takenlijst!$C$5:$C$204,J$4))</f>
        <v/>
      </c>
      <c r="K5" s="16">
        <f>IF($A5="","",COUNTIFS(Takenlijst!$B$5:$B$204,$A5,Takenlijst!$C$5:$C$204,K$4))</f>
        <v/>
      </c>
      <c r="L5" s="16">
        <f>IF($A5="","",COUNTIFS(Takenlijst!$B$5:$B$204,$A5,Takenlijst!$C$5:$C$204,L$4))</f>
        <v/>
      </c>
      <c r="M5" s="16">
        <f>IF($A5="","",COUNTIFS(Takenlijst!$B$5:$B$204,$A5,Takenlijst!$C$5:$C$204,M$4))</f>
        <v/>
      </c>
      <c r="N5" s="16">
        <f>IF($A5="","",SUM(B5:M5))</f>
        <v/>
      </c>
    </row>
    <row r="6">
      <c r="A6" s="15">
        <f>IF(Plantregister!A6="","",Plantregister!A6)</f>
        <v/>
      </c>
      <c r="B6" s="16">
        <f>IF($A6="","",COUNTIFS(Takenlijst!$B$5:$B$204,$A6,Takenlijst!$C$5:$C$204,B$4))</f>
        <v/>
      </c>
      <c r="C6" s="16">
        <f>IF($A6="","",COUNTIFS(Takenlijst!$B$5:$B$204,$A6,Takenlijst!$C$5:$C$204,C$4))</f>
        <v/>
      </c>
      <c r="D6" s="16">
        <f>IF($A6="","",COUNTIFS(Takenlijst!$B$5:$B$204,$A6,Takenlijst!$C$5:$C$204,D$4))</f>
        <v/>
      </c>
      <c r="E6" s="16">
        <f>IF($A6="","",COUNTIFS(Takenlijst!$B$5:$B$204,$A6,Takenlijst!$C$5:$C$204,E$4))</f>
        <v/>
      </c>
      <c r="F6" s="16">
        <f>IF($A6="","",COUNTIFS(Takenlijst!$B$5:$B$204,$A6,Takenlijst!$C$5:$C$204,F$4))</f>
        <v/>
      </c>
      <c r="G6" s="16">
        <f>IF($A6="","",COUNTIFS(Takenlijst!$B$5:$B$204,$A6,Takenlijst!$C$5:$C$204,G$4))</f>
        <v/>
      </c>
      <c r="H6" s="16">
        <f>IF($A6="","",COUNTIFS(Takenlijst!$B$5:$B$204,$A6,Takenlijst!$C$5:$C$204,H$4))</f>
        <v/>
      </c>
      <c r="I6" s="16">
        <f>IF($A6="","",COUNTIFS(Takenlijst!$B$5:$B$204,$A6,Takenlijst!$C$5:$C$204,I$4))</f>
        <v/>
      </c>
      <c r="J6" s="16">
        <f>IF($A6="","",COUNTIFS(Takenlijst!$B$5:$B$204,$A6,Takenlijst!$C$5:$C$204,J$4))</f>
        <v/>
      </c>
      <c r="K6" s="16">
        <f>IF($A6="","",COUNTIFS(Takenlijst!$B$5:$B$204,$A6,Takenlijst!$C$5:$C$204,K$4))</f>
        <v/>
      </c>
      <c r="L6" s="16">
        <f>IF($A6="","",COUNTIFS(Takenlijst!$B$5:$B$204,$A6,Takenlijst!$C$5:$C$204,L$4))</f>
        <v/>
      </c>
      <c r="M6" s="16">
        <f>IF($A6="","",COUNTIFS(Takenlijst!$B$5:$B$204,$A6,Takenlijst!$C$5:$C$204,M$4))</f>
        <v/>
      </c>
      <c r="N6" s="16">
        <f>IF($A6="","",SUM(B6:M6))</f>
        <v/>
      </c>
    </row>
    <row r="7">
      <c r="A7" s="15">
        <f>IF(Plantregister!A7="","",Plantregister!A7)</f>
        <v/>
      </c>
      <c r="B7" s="16">
        <f>IF($A7="","",COUNTIFS(Takenlijst!$B$5:$B$204,$A7,Takenlijst!$C$5:$C$204,B$4))</f>
        <v/>
      </c>
      <c r="C7" s="16">
        <f>IF($A7="","",COUNTIFS(Takenlijst!$B$5:$B$204,$A7,Takenlijst!$C$5:$C$204,C$4))</f>
        <v/>
      </c>
      <c r="D7" s="16">
        <f>IF($A7="","",COUNTIFS(Takenlijst!$B$5:$B$204,$A7,Takenlijst!$C$5:$C$204,D$4))</f>
        <v/>
      </c>
      <c r="E7" s="16">
        <f>IF($A7="","",COUNTIFS(Takenlijst!$B$5:$B$204,$A7,Takenlijst!$C$5:$C$204,E$4))</f>
        <v/>
      </c>
      <c r="F7" s="16">
        <f>IF($A7="","",COUNTIFS(Takenlijst!$B$5:$B$204,$A7,Takenlijst!$C$5:$C$204,F$4))</f>
        <v/>
      </c>
      <c r="G7" s="16">
        <f>IF($A7="","",COUNTIFS(Takenlijst!$B$5:$B$204,$A7,Takenlijst!$C$5:$C$204,G$4))</f>
        <v/>
      </c>
      <c r="H7" s="16">
        <f>IF($A7="","",COUNTIFS(Takenlijst!$B$5:$B$204,$A7,Takenlijst!$C$5:$C$204,H$4))</f>
        <v/>
      </c>
      <c r="I7" s="16">
        <f>IF($A7="","",COUNTIFS(Takenlijst!$B$5:$B$204,$A7,Takenlijst!$C$5:$C$204,I$4))</f>
        <v/>
      </c>
      <c r="J7" s="16">
        <f>IF($A7="","",COUNTIFS(Takenlijst!$B$5:$B$204,$A7,Takenlijst!$C$5:$C$204,J$4))</f>
        <v/>
      </c>
      <c r="K7" s="16">
        <f>IF($A7="","",COUNTIFS(Takenlijst!$B$5:$B$204,$A7,Takenlijst!$C$5:$C$204,K$4))</f>
        <v/>
      </c>
      <c r="L7" s="16">
        <f>IF($A7="","",COUNTIFS(Takenlijst!$B$5:$B$204,$A7,Takenlijst!$C$5:$C$204,L$4))</f>
        <v/>
      </c>
      <c r="M7" s="16">
        <f>IF($A7="","",COUNTIFS(Takenlijst!$B$5:$B$204,$A7,Takenlijst!$C$5:$C$204,M$4))</f>
        <v/>
      </c>
      <c r="N7" s="16">
        <f>IF($A7="","",SUM(B7:M7))</f>
        <v/>
      </c>
    </row>
    <row r="8">
      <c r="A8" s="15">
        <f>IF(Plantregister!A8="","",Plantregister!A8)</f>
        <v/>
      </c>
      <c r="B8" s="16">
        <f>IF($A8="","",COUNTIFS(Takenlijst!$B$5:$B$204,$A8,Takenlijst!$C$5:$C$204,B$4))</f>
        <v/>
      </c>
      <c r="C8" s="16">
        <f>IF($A8="","",COUNTIFS(Takenlijst!$B$5:$B$204,$A8,Takenlijst!$C$5:$C$204,C$4))</f>
        <v/>
      </c>
      <c r="D8" s="16">
        <f>IF($A8="","",COUNTIFS(Takenlijst!$B$5:$B$204,$A8,Takenlijst!$C$5:$C$204,D$4))</f>
        <v/>
      </c>
      <c r="E8" s="16">
        <f>IF($A8="","",COUNTIFS(Takenlijst!$B$5:$B$204,$A8,Takenlijst!$C$5:$C$204,E$4))</f>
        <v/>
      </c>
      <c r="F8" s="16">
        <f>IF($A8="","",COUNTIFS(Takenlijst!$B$5:$B$204,$A8,Takenlijst!$C$5:$C$204,F$4))</f>
        <v/>
      </c>
      <c r="G8" s="16">
        <f>IF($A8="","",COUNTIFS(Takenlijst!$B$5:$B$204,$A8,Takenlijst!$C$5:$C$204,G$4))</f>
        <v/>
      </c>
      <c r="H8" s="16">
        <f>IF($A8="","",COUNTIFS(Takenlijst!$B$5:$B$204,$A8,Takenlijst!$C$5:$C$204,H$4))</f>
        <v/>
      </c>
      <c r="I8" s="16">
        <f>IF($A8="","",COUNTIFS(Takenlijst!$B$5:$B$204,$A8,Takenlijst!$C$5:$C$204,I$4))</f>
        <v/>
      </c>
      <c r="J8" s="16">
        <f>IF($A8="","",COUNTIFS(Takenlijst!$B$5:$B$204,$A8,Takenlijst!$C$5:$C$204,J$4))</f>
        <v/>
      </c>
      <c r="K8" s="16">
        <f>IF($A8="","",COUNTIFS(Takenlijst!$B$5:$B$204,$A8,Takenlijst!$C$5:$C$204,K$4))</f>
        <v/>
      </c>
      <c r="L8" s="16">
        <f>IF($A8="","",COUNTIFS(Takenlijst!$B$5:$B$204,$A8,Takenlijst!$C$5:$C$204,L$4))</f>
        <v/>
      </c>
      <c r="M8" s="16">
        <f>IF($A8="","",COUNTIFS(Takenlijst!$B$5:$B$204,$A8,Takenlijst!$C$5:$C$204,M$4))</f>
        <v/>
      </c>
      <c r="N8" s="16">
        <f>IF($A8="","",SUM(B8:M8))</f>
        <v/>
      </c>
    </row>
    <row r="9">
      <c r="A9" s="15">
        <f>IF(Plantregister!A9="","",Plantregister!A9)</f>
        <v/>
      </c>
      <c r="B9" s="16">
        <f>IF($A9="","",COUNTIFS(Takenlijst!$B$5:$B$204,$A9,Takenlijst!$C$5:$C$204,B$4))</f>
        <v/>
      </c>
      <c r="C9" s="16">
        <f>IF($A9="","",COUNTIFS(Takenlijst!$B$5:$B$204,$A9,Takenlijst!$C$5:$C$204,C$4))</f>
        <v/>
      </c>
      <c r="D9" s="16">
        <f>IF($A9="","",COUNTIFS(Takenlijst!$B$5:$B$204,$A9,Takenlijst!$C$5:$C$204,D$4))</f>
        <v/>
      </c>
      <c r="E9" s="16">
        <f>IF($A9="","",COUNTIFS(Takenlijst!$B$5:$B$204,$A9,Takenlijst!$C$5:$C$204,E$4))</f>
        <v/>
      </c>
      <c r="F9" s="16">
        <f>IF($A9="","",COUNTIFS(Takenlijst!$B$5:$B$204,$A9,Takenlijst!$C$5:$C$204,F$4))</f>
        <v/>
      </c>
      <c r="G9" s="16">
        <f>IF($A9="","",COUNTIFS(Takenlijst!$B$5:$B$204,$A9,Takenlijst!$C$5:$C$204,G$4))</f>
        <v/>
      </c>
      <c r="H9" s="16">
        <f>IF($A9="","",COUNTIFS(Takenlijst!$B$5:$B$204,$A9,Takenlijst!$C$5:$C$204,H$4))</f>
        <v/>
      </c>
      <c r="I9" s="16">
        <f>IF($A9="","",COUNTIFS(Takenlijst!$B$5:$B$204,$A9,Takenlijst!$C$5:$C$204,I$4))</f>
        <v/>
      </c>
      <c r="J9" s="16">
        <f>IF($A9="","",COUNTIFS(Takenlijst!$B$5:$B$204,$A9,Takenlijst!$C$5:$C$204,J$4))</f>
        <v/>
      </c>
      <c r="K9" s="16">
        <f>IF($A9="","",COUNTIFS(Takenlijst!$B$5:$B$204,$A9,Takenlijst!$C$5:$C$204,K$4))</f>
        <v/>
      </c>
      <c r="L9" s="16">
        <f>IF($A9="","",COUNTIFS(Takenlijst!$B$5:$B$204,$A9,Takenlijst!$C$5:$C$204,L$4))</f>
        <v/>
      </c>
      <c r="M9" s="16">
        <f>IF($A9="","",COUNTIFS(Takenlijst!$B$5:$B$204,$A9,Takenlijst!$C$5:$C$204,M$4))</f>
        <v/>
      </c>
      <c r="N9" s="16">
        <f>IF($A9="","",SUM(B9:M9))</f>
        <v/>
      </c>
    </row>
    <row r="10">
      <c r="A10" s="15">
        <f>IF(Plantregister!A10="","",Plantregister!A10)</f>
        <v/>
      </c>
      <c r="B10" s="16">
        <f>IF($A10="","",COUNTIFS(Takenlijst!$B$5:$B$204,$A10,Takenlijst!$C$5:$C$204,B$4))</f>
        <v/>
      </c>
      <c r="C10" s="16">
        <f>IF($A10="","",COUNTIFS(Takenlijst!$B$5:$B$204,$A10,Takenlijst!$C$5:$C$204,C$4))</f>
        <v/>
      </c>
      <c r="D10" s="16">
        <f>IF($A10="","",COUNTIFS(Takenlijst!$B$5:$B$204,$A10,Takenlijst!$C$5:$C$204,D$4))</f>
        <v/>
      </c>
      <c r="E10" s="16">
        <f>IF($A10="","",COUNTIFS(Takenlijst!$B$5:$B$204,$A10,Takenlijst!$C$5:$C$204,E$4))</f>
        <v/>
      </c>
      <c r="F10" s="16">
        <f>IF($A10="","",COUNTIFS(Takenlijst!$B$5:$B$204,$A10,Takenlijst!$C$5:$C$204,F$4))</f>
        <v/>
      </c>
      <c r="G10" s="16">
        <f>IF($A10="","",COUNTIFS(Takenlijst!$B$5:$B$204,$A10,Takenlijst!$C$5:$C$204,G$4))</f>
        <v/>
      </c>
      <c r="H10" s="16">
        <f>IF($A10="","",COUNTIFS(Takenlijst!$B$5:$B$204,$A10,Takenlijst!$C$5:$C$204,H$4))</f>
        <v/>
      </c>
      <c r="I10" s="16">
        <f>IF($A10="","",COUNTIFS(Takenlijst!$B$5:$B$204,$A10,Takenlijst!$C$5:$C$204,I$4))</f>
        <v/>
      </c>
      <c r="J10" s="16">
        <f>IF($A10="","",COUNTIFS(Takenlijst!$B$5:$B$204,$A10,Takenlijst!$C$5:$C$204,J$4))</f>
        <v/>
      </c>
      <c r="K10" s="16">
        <f>IF($A10="","",COUNTIFS(Takenlijst!$B$5:$B$204,$A10,Takenlijst!$C$5:$C$204,K$4))</f>
        <v/>
      </c>
      <c r="L10" s="16">
        <f>IF($A10="","",COUNTIFS(Takenlijst!$B$5:$B$204,$A10,Takenlijst!$C$5:$C$204,L$4))</f>
        <v/>
      </c>
      <c r="M10" s="16">
        <f>IF($A10="","",COUNTIFS(Takenlijst!$B$5:$B$204,$A10,Takenlijst!$C$5:$C$204,M$4))</f>
        <v/>
      </c>
      <c r="N10" s="16">
        <f>IF($A10="","",SUM(B10:M10))</f>
        <v/>
      </c>
    </row>
    <row r="11">
      <c r="A11" s="15">
        <f>IF(Plantregister!A11="","",Plantregister!A11)</f>
        <v/>
      </c>
      <c r="B11" s="16">
        <f>IF($A11="","",COUNTIFS(Takenlijst!$B$5:$B$204,$A11,Takenlijst!$C$5:$C$204,B$4))</f>
        <v/>
      </c>
      <c r="C11" s="16">
        <f>IF($A11="","",COUNTIFS(Takenlijst!$B$5:$B$204,$A11,Takenlijst!$C$5:$C$204,C$4))</f>
        <v/>
      </c>
      <c r="D11" s="16">
        <f>IF($A11="","",COUNTIFS(Takenlijst!$B$5:$B$204,$A11,Takenlijst!$C$5:$C$204,D$4))</f>
        <v/>
      </c>
      <c r="E11" s="16">
        <f>IF($A11="","",COUNTIFS(Takenlijst!$B$5:$B$204,$A11,Takenlijst!$C$5:$C$204,E$4))</f>
        <v/>
      </c>
      <c r="F11" s="16">
        <f>IF($A11="","",COUNTIFS(Takenlijst!$B$5:$B$204,$A11,Takenlijst!$C$5:$C$204,F$4))</f>
        <v/>
      </c>
      <c r="G11" s="16">
        <f>IF($A11="","",COUNTIFS(Takenlijst!$B$5:$B$204,$A11,Takenlijst!$C$5:$C$204,G$4))</f>
        <v/>
      </c>
      <c r="H11" s="16">
        <f>IF($A11="","",COUNTIFS(Takenlijst!$B$5:$B$204,$A11,Takenlijst!$C$5:$C$204,H$4))</f>
        <v/>
      </c>
      <c r="I11" s="16">
        <f>IF($A11="","",COUNTIFS(Takenlijst!$B$5:$B$204,$A11,Takenlijst!$C$5:$C$204,I$4))</f>
        <v/>
      </c>
      <c r="J11" s="16">
        <f>IF($A11="","",COUNTIFS(Takenlijst!$B$5:$B$204,$A11,Takenlijst!$C$5:$C$204,J$4))</f>
        <v/>
      </c>
      <c r="K11" s="16">
        <f>IF($A11="","",COUNTIFS(Takenlijst!$B$5:$B$204,$A11,Takenlijst!$C$5:$C$204,K$4))</f>
        <v/>
      </c>
      <c r="L11" s="16">
        <f>IF($A11="","",COUNTIFS(Takenlijst!$B$5:$B$204,$A11,Takenlijst!$C$5:$C$204,L$4))</f>
        <v/>
      </c>
      <c r="M11" s="16">
        <f>IF($A11="","",COUNTIFS(Takenlijst!$B$5:$B$204,$A11,Takenlijst!$C$5:$C$204,M$4))</f>
        <v/>
      </c>
      <c r="N11" s="16">
        <f>IF($A11="","",SUM(B11:M11))</f>
        <v/>
      </c>
    </row>
    <row r="12">
      <c r="A12" s="15">
        <f>IF(Plantregister!A12="","",Plantregister!A12)</f>
        <v/>
      </c>
      <c r="B12" s="16">
        <f>IF($A12="","",COUNTIFS(Takenlijst!$B$5:$B$204,$A12,Takenlijst!$C$5:$C$204,B$4))</f>
        <v/>
      </c>
      <c r="C12" s="16">
        <f>IF($A12="","",COUNTIFS(Takenlijst!$B$5:$B$204,$A12,Takenlijst!$C$5:$C$204,C$4))</f>
        <v/>
      </c>
      <c r="D12" s="16">
        <f>IF($A12="","",COUNTIFS(Takenlijst!$B$5:$B$204,$A12,Takenlijst!$C$5:$C$204,D$4))</f>
        <v/>
      </c>
      <c r="E12" s="16">
        <f>IF($A12="","",COUNTIFS(Takenlijst!$B$5:$B$204,$A12,Takenlijst!$C$5:$C$204,E$4))</f>
        <v/>
      </c>
      <c r="F12" s="16">
        <f>IF($A12="","",COUNTIFS(Takenlijst!$B$5:$B$204,$A12,Takenlijst!$C$5:$C$204,F$4))</f>
        <v/>
      </c>
      <c r="G12" s="16">
        <f>IF($A12="","",COUNTIFS(Takenlijst!$B$5:$B$204,$A12,Takenlijst!$C$5:$C$204,G$4))</f>
        <v/>
      </c>
      <c r="H12" s="16">
        <f>IF($A12="","",COUNTIFS(Takenlijst!$B$5:$B$204,$A12,Takenlijst!$C$5:$C$204,H$4))</f>
        <v/>
      </c>
      <c r="I12" s="16">
        <f>IF($A12="","",COUNTIFS(Takenlijst!$B$5:$B$204,$A12,Takenlijst!$C$5:$C$204,I$4))</f>
        <v/>
      </c>
      <c r="J12" s="16">
        <f>IF($A12="","",COUNTIFS(Takenlijst!$B$5:$B$204,$A12,Takenlijst!$C$5:$C$204,J$4))</f>
        <v/>
      </c>
      <c r="K12" s="16">
        <f>IF($A12="","",COUNTIFS(Takenlijst!$B$5:$B$204,$A12,Takenlijst!$C$5:$C$204,K$4))</f>
        <v/>
      </c>
      <c r="L12" s="16">
        <f>IF($A12="","",COUNTIFS(Takenlijst!$B$5:$B$204,$A12,Takenlijst!$C$5:$C$204,L$4))</f>
        <v/>
      </c>
      <c r="M12" s="16">
        <f>IF($A12="","",COUNTIFS(Takenlijst!$B$5:$B$204,$A12,Takenlijst!$C$5:$C$204,M$4))</f>
        <v/>
      </c>
      <c r="N12" s="16">
        <f>IF($A12="","",SUM(B12:M12))</f>
        <v/>
      </c>
    </row>
    <row r="13">
      <c r="A13" s="15">
        <f>IF(Plantregister!A13="","",Plantregister!A13)</f>
        <v/>
      </c>
      <c r="B13" s="16">
        <f>IF($A13="","",COUNTIFS(Takenlijst!$B$5:$B$204,$A13,Takenlijst!$C$5:$C$204,B$4))</f>
        <v/>
      </c>
      <c r="C13" s="16">
        <f>IF($A13="","",COUNTIFS(Takenlijst!$B$5:$B$204,$A13,Takenlijst!$C$5:$C$204,C$4))</f>
        <v/>
      </c>
      <c r="D13" s="16">
        <f>IF($A13="","",COUNTIFS(Takenlijst!$B$5:$B$204,$A13,Takenlijst!$C$5:$C$204,D$4))</f>
        <v/>
      </c>
      <c r="E13" s="16">
        <f>IF($A13="","",COUNTIFS(Takenlijst!$B$5:$B$204,$A13,Takenlijst!$C$5:$C$204,E$4))</f>
        <v/>
      </c>
      <c r="F13" s="16">
        <f>IF($A13="","",COUNTIFS(Takenlijst!$B$5:$B$204,$A13,Takenlijst!$C$5:$C$204,F$4))</f>
        <v/>
      </c>
      <c r="G13" s="16">
        <f>IF($A13="","",COUNTIFS(Takenlijst!$B$5:$B$204,$A13,Takenlijst!$C$5:$C$204,G$4))</f>
        <v/>
      </c>
      <c r="H13" s="16">
        <f>IF($A13="","",COUNTIFS(Takenlijst!$B$5:$B$204,$A13,Takenlijst!$C$5:$C$204,H$4))</f>
        <v/>
      </c>
      <c r="I13" s="16">
        <f>IF($A13="","",COUNTIFS(Takenlijst!$B$5:$B$204,$A13,Takenlijst!$C$5:$C$204,I$4))</f>
        <v/>
      </c>
      <c r="J13" s="16">
        <f>IF($A13="","",COUNTIFS(Takenlijst!$B$5:$B$204,$A13,Takenlijst!$C$5:$C$204,J$4))</f>
        <v/>
      </c>
      <c r="K13" s="16">
        <f>IF($A13="","",COUNTIFS(Takenlijst!$B$5:$B$204,$A13,Takenlijst!$C$5:$C$204,K$4))</f>
        <v/>
      </c>
      <c r="L13" s="16">
        <f>IF($A13="","",COUNTIFS(Takenlijst!$B$5:$B$204,$A13,Takenlijst!$C$5:$C$204,L$4))</f>
        <v/>
      </c>
      <c r="M13" s="16">
        <f>IF($A13="","",COUNTIFS(Takenlijst!$B$5:$B$204,$A13,Takenlijst!$C$5:$C$204,M$4))</f>
        <v/>
      </c>
      <c r="N13" s="16">
        <f>IF($A13="","",SUM(B13:M13))</f>
        <v/>
      </c>
    </row>
    <row r="14">
      <c r="A14" s="15">
        <f>IF(Plantregister!A14="","",Plantregister!A14)</f>
        <v/>
      </c>
      <c r="B14" s="16">
        <f>IF($A14="","",COUNTIFS(Takenlijst!$B$5:$B$204,$A14,Takenlijst!$C$5:$C$204,B$4))</f>
        <v/>
      </c>
      <c r="C14" s="16">
        <f>IF($A14="","",COUNTIFS(Takenlijst!$B$5:$B$204,$A14,Takenlijst!$C$5:$C$204,C$4))</f>
        <v/>
      </c>
      <c r="D14" s="16">
        <f>IF($A14="","",COUNTIFS(Takenlijst!$B$5:$B$204,$A14,Takenlijst!$C$5:$C$204,D$4))</f>
        <v/>
      </c>
      <c r="E14" s="16">
        <f>IF($A14="","",COUNTIFS(Takenlijst!$B$5:$B$204,$A14,Takenlijst!$C$5:$C$204,E$4))</f>
        <v/>
      </c>
      <c r="F14" s="16">
        <f>IF($A14="","",COUNTIFS(Takenlijst!$B$5:$B$204,$A14,Takenlijst!$C$5:$C$204,F$4))</f>
        <v/>
      </c>
      <c r="G14" s="16">
        <f>IF($A14="","",COUNTIFS(Takenlijst!$B$5:$B$204,$A14,Takenlijst!$C$5:$C$204,G$4))</f>
        <v/>
      </c>
      <c r="H14" s="16">
        <f>IF($A14="","",COUNTIFS(Takenlijst!$B$5:$B$204,$A14,Takenlijst!$C$5:$C$204,H$4))</f>
        <v/>
      </c>
      <c r="I14" s="16">
        <f>IF($A14="","",COUNTIFS(Takenlijst!$B$5:$B$204,$A14,Takenlijst!$C$5:$C$204,I$4))</f>
        <v/>
      </c>
      <c r="J14" s="16">
        <f>IF($A14="","",COUNTIFS(Takenlijst!$B$5:$B$204,$A14,Takenlijst!$C$5:$C$204,J$4))</f>
        <v/>
      </c>
      <c r="K14" s="16">
        <f>IF($A14="","",COUNTIFS(Takenlijst!$B$5:$B$204,$A14,Takenlijst!$C$5:$C$204,K$4))</f>
        <v/>
      </c>
      <c r="L14" s="16">
        <f>IF($A14="","",COUNTIFS(Takenlijst!$B$5:$B$204,$A14,Takenlijst!$C$5:$C$204,L$4))</f>
        <v/>
      </c>
      <c r="M14" s="16">
        <f>IF($A14="","",COUNTIFS(Takenlijst!$B$5:$B$204,$A14,Takenlijst!$C$5:$C$204,M$4))</f>
        <v/>
      </c>
      <c r="N14" s="16">
        <f>IF($A14="","",SUM(B14:M14))</f>
        <v/>
      </c>
    </row>
    <row r="15">
      <c r="A15" s="15">
        <f>IF(Plantregister!A15="","",Plantregister!A15)</f>
        <v/>
      </c>
      <c r="B15" s="16">
        <f>IF($A15="","",COUNTIFS(Takenlijst!$B$5:$B$204,$A15,Takenlijst!$C$5:$C$204,B$4))</f>
        <v/>
      </c>
      <c r="C15" s="16">
        <f>IF($A15="","",COUNTIFS(Takenlijst!$B$5:$B$204,$A15,Takenlijst!$C$5:$C$204,C$4))</f>
        <v/>
      </c>
      <c r="D15" s="16">
        <f>IF($A15="","",COUNTIFS(Takenlijst!$B$5:$B$204,$A15,Takenlijst!$C$5:$C$204,D$4))</f>
        <v/>
      </c>
      <c r="E15" s="16">
        <f>IF($A15="","",COUNTIFS(Takenlijst!$B$5:$B$204,$A15,Takenlijst!$C$5:$C$204,E$4))</f>
        <v/>
      </c>
      <c r="F15" s="16">
        <f>IF($A15="","",COUNTIFS(Takenlijst!$B$5:$B$204,$A15,Takenlijst!$C$5:$C$204,F$4))</f>
        <v/>
      </c>
      <c r="G15" s="16">
        <f>IF($A15="","",COUNTIFS(Takenlijst!$B$5:$B$204,$A15,Takenlijst!$C$5:$C$204,G$4))</f>
        <v/>
      </c>
      <c r="H15" s="16">
        <f>IF($A15="","",COUNTIFS(Takenlijst!$B$5:$B$204,$A15,Takenlijst!$C$5:$C$204,H$4))</f>
        <v/>
      </c>
      <c r="I15" s="16">
        <f>IF($A15="","",COUNTIFS(Takenlijst!$B$5:$B$204,$A15,Takenlijst!$C$5:$C$204,I$4))</f>
        <v/>
      </c>
      <c r="J15" s="16">
        <f>IF($A15="","",COUNTIFS(Takenlijst!$B$5:$B$204,$A15,Takenlijst!$C$5:$C$204,J$4))</f>
        <v/>
      </c>
      <c r="K15" s="16">
        <f>IF($A15="","",COUNTIFS(Takenlijst!$B$5:$B$204,$A15,Takenlijst!$C$5:$C$204,K$4))</f>
        <v/>
      </c>
      <c r="L15" s="16">
        <f>IF($A15="","",COUNTIFS(Takenlijst!$B$5:$B$204,$A15,Takenlijst!$C$5:$C$204,L$4))</f>
        <v/>
      </c>
      <c r="M15" s="16">
        <f>IF($A15="","",COUNTIFS(Takenlijst!$B$5:$B$204,$A15,Takenlijst!$C$5:$C$204,M$4))</f>
        <v/>
      </c>
      <c r="N15" s="16">
        <f>IF($A15="","",SUM(B15:M15))</f>
        <v/>
      </c>
    </row>
    <row r="16">
      <c r="A16" s="15">
        <f>IF(Plantregister!A16="","",Plantregister!A16)</f>
        <v/>
      </c>
      <c r="B16" s="16">
        <f>IF($A16="","",COUNTIFS(Takenlijst!$B$5:$B$204,$A16,Takenlijst!$C$5:$C$204,B$4))</f>
        <v/>
      </c>
      <c r="C16" s="16">
        <f>IF($A16="","",COUNTIFS(Takenlijst!$B$5:$B$204,$A16,Takenlijst!$C$5:$C$204,C$4))</f>
        <v/>
      </c>
      <c r="D16" s="16">
        <f>IF($A16="","",COUNTIFS(Takenlijst!$B$5:$B$204,$A16,Takenlijst!$C$5:$C$204,D$4))</f>
        <v/>
      </c>
      <c r="E16" s="16">
        <f>IF($A16="","",COUNTIFS(Takenlijst!$B$5:$B$204,$A16,Takenlijst!$C$5:$C$204,E$4))</f>
        <v/>
      </c>
      <c r="F16" s="16">
        <f>IF($A16="","",COUNTIFS(Takenlijst!$B$5:$B$204,$A16,Takenlijst!$C$5:$C$204,F$4))</f>
        <v/>
      </c>
      <c r="G16" s="16">
        <f>IF($A16="","",COUNTIFS(Takenlijst!$B$5:$B$204,$A16,Takenlijst!$C$5:$C$204,G$4))</f>
        <v/>
      </c>
      <c r="H16" s="16">
        <f>IF($A16="","",COUNTIFS(Takenlijst!$B$5:$B$204,$A16,Takenlijst!$C$5:$C$204,H$4))</f>
        <v/>
      </c>
      <c r="I16" s="16">
        <f>IF($A16="","",COUNTIFS(Takenlijst!$B$5:$B$204,$A16,Takenlijst!$C$5:$C$204,I$4))</f>
        <v/>
      </c>
      <c r="J16" s="16">
        <f>IF($A16="","",COUNTIFS(Takenlijst!$B$5:$B$204,$A16,Takenlijst!$C$5:$C$204,J$4))</f>
        <v/>
      </c>
      <c r="K16" s="16">
        <f>IF($A16="","",COUNTIFS(Takenlijst!$B$5:$B$204,$A16,Takenlijst!$C$5:$C$204,K$4))</f>
        <v/>
      </c>
      <c r="L16" s="16">
        <f>IF($A16="","",COUNTIFS(Takenlijst!$B$5:$B$204,$A16,Takenlijst!$C$5:$C$204,L$4))</f>
        <v/>
      </c>
      <c r="M16" s="16">
        <f>IF($A16="","",COUNTIFS(Takenlijst!$B$5:$B$204,$A16,Takenlijst!$C$5:$C$204,M$4))</f>
        <v/>
      </c>
      <c r="N16" s="16">
        <f>IF($A16="","",SUM(B16:M16))</f>
        <v/>
      </c>
    </row>
    <row r="17">
      <c r="A17" s="15">
        <f>IF(Plantregister!A17="","",Plantregister!A17)</f>
        <v/>
      </c>
      <c r="B17" s="16">
        <f>IF($A17="","",COUNTIFS(Takenlijst!$B$5:$B$204,$A17,Takenlijst!$C$5:$C$204,B$4))</f>
        <v/>
      </c>
      <c r="C17" s="16">
        <f>IF($A17="","",COUNTIFS(Takenlijst!$B$5:$B$204,$A17,Takenlijst!$C$5:$C$204,C$4))</f>
        <v/>
      </c>
      <c r="D17" s="16">
        <f>IF($A17="","",COUNTIFS(Takenlijst!$B$5:$B$204,$A17,Takenlijst!$C$5:$C$204,D$4))</f>
        <v/>
      </c>
      <c r="E17" s="16">
        <f>IF($A17="","",COUNTIFS(Takenlijst!$B$5:$B$204,$A17,Takenlijst!$C$5:$C$204,E$4))</f>
        <v/>
      </c>
      <c r="F17" s="16">
        <f>IF($A17="","",COUNTIFS(Takenlijst!$B$5:$B$204,$A17,Takenlijst!$C$5:$C$204,F$4))</f>
        <v/>
      </c>
      <c r="G17" s="16">
        <f>IF($A17="","",COUNTIFS(Takenlijst!$B$5:$B$204,$A17,Takenlijst!$C$5:$C$204,G$4))</f>
        <v/>
      </c>
      <c r="H17" s="16">
        <f>IF($A17="","",COUNTIFS(Takenlijst!$B$5:$B$204,$A17,Takenlijst!$C$5:$C$204,H$4))</f>
        <v/>
      </c>
      <c r="I17" s="16">
        <f>IF($A17="","",COUNTIFS(Takenlijst!$B$5:$B$204,$A17,Takenlijst!$C$5:$C$204,I$4))</f>
        <v/>
      </c>
      <c r="J17" s="16">
        <f>IF($A17="","",COUNTIFS(Takenlijst!$B$5:$B$204,$A17,Takenlijst!$C$5:$C$204,J$4))</f>
        <v/>
      </c>
      <c r="K17" s="16">
        <f>IF($A17="","",COUNTIFS(Takenlijst!$B$5:$B$204,$A17,Takenlijst!$C$5:$C$204,K$4))</f>
        <v/>
      </c>
      <c r="L17" s="16">
        <f>IF($A17="","",COUNTIFS(Takenlijst!$B$5:$B$204,$A17,Takenlijst!$C$5:$C$204,L$4))</f>
        <v/>
      </c>
      <c r="M17" s="16">
        <f>IF($A17="","",COUNTIFS(Takenlijst!$B$5:$B$204,$A17,Takenlijst!$C$5:$C$204,M$4))</f>
        <v/>
      </c>
      <c r="N17" s="16">
        <f>IF($A17="","",SUM(B17:M17))</f>
        <v/>
      </c>
    </row>
    <row r="18">
      <c r="A18" s="15">
        <f>IF(Plantregister!A18="","",Plantregister!A18)</f>
        <v/>
      </c>
      <c r="B18" s="16">
        <f>IF($A18="","",COUNTIFS(Takenlijst!$B$5:$B$204,$A18,Takenlijst!$C$5:$C$204,B$4))</f>
        <v/>
      </c>
      <c r="C18" s="16">
        <f>IF($A18="","",COUNTIFS(Takenlijst!$B$5:$B$204,$A18,Takenlijst!$C$5:$C$204,C$4))</f>
        <v/>
      </c>
      <c r="D18" s="16">
        <f>IF($A18="","",COUNTIFS(Takenlijst!$B$5:$B$204,$A18,Takenlijst!$C$5:$C$204,D$4))</f>
        <v/>
      </c>
      <c r="E18" s="16">
        <f>IF($A18="","",COUNTIFS(Takenlijst!$B$5:$B$204,$A18,Takenlijst!$C$5:$C$204,E$4))</f>
        <v/>
      </c>
      <c r="F18" s="16">
        <f>IF($A18="","",COUNTIFS(Takenlijst!$B$5:$B$204,$A18,Takenlijst!$C$5:$C$204,F$4))</f>
        <v/>
      </c>
      <c r="G18" s="16">
        <f>IF($A18="","",COUNTIFS(Takenlijst!$B$5:$B$204,$A18,Takenlijst!$C$5:$C$204,G$4))</f>
        <v/>
      </c>
      <c r="H18" s="16">
        <f>IF($A18="","",COUNTIFS(Takenlijst!$B$5:$B$204,$A18,Takenlijst!$C$5:$C$204,H$4))</f>
        <v/>
      </c>
      <c r="I18" s="16">
        <f>IF($A18="","",COUNTIFS(Takenlijst!$B$5:$B$204,$A18,Takenlijst!$C$5:$C$204,I$4))</f>
        <v/>
      </c>
      <c r="J18" s="16">
        <f>IF($A18="","",COUNTIFS(Takenlijst!$B$5:$B$204,$A18,Takenlijst!$C$5:$C$204,J$4))</f>
        <v/>
      </c>
      <c r="K18" s="16">
        <f>IF($A18="","",COUNTIFS(Takenlijst!$B$5:$B$204,$A18,Takenlijst!$C$5:$C$204,K$4))</f>
        <v/>
      </c>
      <c r="L18" s="16">
        <f>IF($A18="","",COUNTIFS(Takenlijst!$B$5:$B$204,$A18,Takenlijst!$C$5:$C$204,L$4))</f>
        <v/>
      </c>
      <c r="M18" s="16">
        <f>IF($A18="","",COUNTIFS(Takenlijst!$B$5:$B$204,$A18,Takenlijst!$C$5:$C$204,M$4))</f>
        <v/>
      </c>
      <c r="N18" s="16">
        <f>IF($A18="","",SUM(B18:M18))</f>
        <v/>
      </c>
    </row>
    <row r="19">
      <c r="A19" s="15">
        <f>IF(Plantregister!A19="","",Plantregister!A19)</f>
        <v/>
      </c>
      <c r="B19" s="16">
        <f>IF($A19="","",COUNTIFS(Takenlijst!$B$5:$B$204,$A19,Takenlijst!$C$5:$C$204,B$4))</f>
        <v/>
      </c>
      <c r="C19" s="16">
        <f>IF($A19="","",COUNTIFS(Takenlijst!$B$5:$B$204,$A19,Takenlijst!$C$5:$C$204,C$4))</f>
        <v/>
      </c>
      <c r="D19" s="16">
        <f>IF($A19="","",COUNTIFS(Takenlijst!$B$5:$B$204,$A19,Takenlijst!$C$5:$C$204,D$4))</f>
        <v/>
      </c>
      <c r="E19" s="16">
        <f>IF($A19="","",COUNTIFS(Takenlijst!$B$5:$B$204,$A19,Takenlijst!$C$5:$C$204,E$4))</f>
        <v/>
      </c>
      <c r="F19" s="16">
        <f>IF($A19="","",COUNTIFS(Takenlijst!$B$5:$B$204,$A19,Takenlijst!$C$5:$C$204,F$4))</f>
        <v/>
      </c>
      <c r="G19" s="16">
        <f>IF($A19="","",COUNTIFS(Takenlijst!$B$5:$B$204,$A19,Takenlijst!$C$5:$C$204,G$4))</f>
        <v/>
      </c>
      <c r="H19" s="16">
        <f>IF($A19="","",COUNTIFS(Takenlijst!$B$5:$B$204,$A19,Takenlijst!$C$5:$C$204,H$4))</f>
        <v/>
      </c>
      <c r="I19" s="16">
        <f>IF($A19="","",COUNTIFS(Takenlijst!$B$5:$B$204,$A19,Takenlijst!$C$5:$C$204,I$4))</f>
        <v/>
      </c>
      <c r="J19" s="16">
        <f>IF($A19="","",COUNTIFS(Takenlijst!$B$5:$B$204,$A19,Takenlijst!$C$5:$C$204,J$4))</f>
        <v/>
      </c>
      <c r="K19" s="16">
        <f>IF($A19="","",COUNTIFS(Takenlijst!$B$5:$B$204,$A19,Takenlijst!$C$5:$C$204,K$4))</f>
        <v/>
      </c>
      <c r="L19" s="16">
        <f>IF($A19="","",COUNTIFS(Takenlijst!$B$5:$B$204,$A19,Takenlijst!$C$5:$C$204,L$4))</f>
        <v/>
      </c>
      <c r="M19" s="16">
        <f>IF($A19="","",COUNTIFS(Takenlijst!$B$5:$B$204,$A19,Takenlijst!$C$5:$C$204,M$4))</f>
        <v/>
      </c>
      <c r="N19" s="16">
        <f>IF($A19="","",SUM(B19:M19))</f>
        <v/>
      </c>
    </row>
    <row r="20">
      <c r="A20" s="15">
        <f>IF(Plantregister!A20="","",Plantregister!A20)</f>
        <v/>
      </c>
      <c r="B20" s="16">
        <f>IF($A20="","",COUNTIFS(Takenlijst!$B$5:$B$204,$A20,Takenlijst!$C$5:$C$204,B$4))</f>
        <v/>
      </c>
      <c r="C20" s="16">
        <f>IF($A20="","",COUNTIFS(Takenlijst!$B$5:$B$204,$A20,Takenlijst!$C$5:$C$204,C$4))</f>
        <v/>
      </c>
      <c r="D20" s="16">
        <f>IF($A20="","",COUNTIFS(Takenlijst!$B$5:$B$204,$A20,Takenlijst!$C$5:$C$204,D$4))</f>
        <v/>
      </c>
      <c r="E20" s="16">
        <f>IF($A20="","",COUNTIFS(Takenlijst!$B$5:$B$204,$A20,Takenlijst!$C$5:$C$204,E$4))</f>
        <v/>
      </c>
      <c r="F20" s="16">
        <f>IF($A20="","",COUNTIFS(Takenlijst!$B$5:$B$204,$A20,Takenlijst!$C$5:$C$204,F$4))</f>
        <v/>
      </c>
      <c r="G20" s="16">
        <f>IF($A20="","",COUNTIFS(Takenlijst!$B$5:$B$204,$A20,Takenlijst!$C$5:$C$204,G$4))</f>
        <v/>
      </c>
      <c r="H20" s="16">
        <f>IF($A20="","",COUNTIFS(Takenlijst!$B$5:$B$204,$A20,Takenlijst!$C$5:$C$204,H$4))</f>
        <v/>
      </c>
      <c r="I20" s="16">
        <f>IF($A20="","",COUNTIFS(Takenlijst!$B$5:$B$204,$A20,Takenlijst!$C$5:$C$204,I$4))</f>
        <v/>
      </c>
      <c r="J20" s="16">
        <f>IF($A20="","",COUNTIFS(Takenlijst!$B$5:$B$204,$A20,Takenlijst!$C$5:$C$204,J$4))</f>
        <v/>
      </c>
      <c r="K20" s="16">
        <f>IF($A20="","",COUNTIFS(Takenlijst!$B$5:$B$204,$A20,Takenlijst!$C$5:$C$204,K$4))</f>
        <v/>
      </c>
      <c r="L20" s="16">
        <f>IF($A20="","",COUNTIFS(Takenlijst!$B$5:$B$204,$A20,Takenlijst!$C$5:$C$204,L$4))</f>
        <v/>
      </c>
      <c r="M20" s="16">
        <f>IF($A20="","",COUNTIFS(Takenlijst!$B$5:$B$204,$A20,Takenlijst!$C$5:$C$204,M$4))</f>
        <v/>
      </c>
      <c r="N20" s="16">
        <f>IF($A20="","",SUM(B20:M20))</f>
        <v/>
      </c>
    </row>
    <row r="21">
      <c r="A21" s="15">
        <f>IF(Plantregister!A21="","",Plantregister!A21)</f>
        <v/>
      </c>
      <c r="B21" s="16">
        <f>IF($A21="","",COUNTIFS(Takenlijst!$B$5:$B$204,$A21,Takenlijst!$C$5:$C$204,B$4))</f>
        <v/>
      </c>
      <c r="C21" s="16">
        <f>IF($A21="","",COUNTIFS(Takenlijst!$B$5:$B$204,$A21,Takenlijst!$C$5:$C$204,C$4))</f>
        <v/>
      </c>
      <c r="D21" s="16">
        <f>IF($A21="","",COUNTIFS(Takenlijst!$B$5:$B$204,$A21,Takenlijst!$C$5:$C$204,D$4))</f>
        <v/>
      </c>
      <c r="E21" s="16">
        <f>IF($A21="","",COUNTIFS(Takenlijst!$B$5:$B$204,$A21,Takenlijst!$C$5:$C$204,E$4))</f>
        <v/>
      </c>
      <c r="F21" s="16">
        <f>IF($A21="","",COUNTIFS(Takenlijst!$B$5:$B$204,$A21,Takenlijst!$C$5:$C$204,F$4))</f>
        <v/>
      </c>
      <c r="G21" s="16">
        <f>IF($A21="","",COUNTIFS(Takenlijst!$B$5:$B$204,$A21,Takenlijst!$C$5:$C$204,G$4))</f>
        <v/>
      </c>
      <c r="H21" s="16">
        <f>IF($A21="","",COUNTIFS(Takenlijst!$B$5:$B$204,$A21,Takenlijst!$C$5:$C$204,H$4))</f>
        <v/>
      </c>
      <c r="I21" s="16">
        <f>IF($A21="","",COUNTIFS(Takenlijst!$B$5:$B$204,$A21,Takenlijst!$C$5:$C$204,I$4))</f>
        <v/>
      </c>
      <c r="J21" s="16">
        <f>IF($A21="","",COUNTIFS(Takenlijst!$B$5:$B$204,$A21,Takenlijst!$C$5:$C$204,J$4))</f>
        <v/>
      </c>
      <c r="K21" s="16">
        <f>IF($A21="","",COUNTIFS(Takenlijst!$B$5:$B$204,$A21,Takenlijst!$C$5:$C$204,K$4))</f>
        <v/>
      </c>
      <c r="L21" s="16">
        <f>IF($A21="","",COUNTIFS(Takenlijst!$B$5:$B$204,$A21,Takenlijst!$C$5:$C$204,L$4))</f>
        <v/>
      </c>
      <c r="M21" s="16">
        <f>IF($A21="","",COUNTIFS(Takenlijst!$B$5:$B$204,$A21,Takenlijst!$C$5:$C$204,M$4))</f>
        <v/>
      </c>
      <c r="N21" s="16">
        <f>IF($A21="","",SUM(B21:M21))</f>
        <v/>
      </c>
    </row>
    <row r="22">
      <c r="A22" s="15">
        <f>IF(Plantregister!A22="","",Plantregister!A22)</f>
        <v/>
      </c>
      <c r="B22" s="16">
        <f>IF($A22="","",COUNTIFS(Takenlijst!$B$5:$B$204,$A22,Takenlijst!$C$5:$C$204,B$4))</f>
        <v/>
      </c>
      <c r="C22" s="16">
        <f>IF($A22="","",COUNTIFS(Takenlijst!$B$5:$B$204,$A22,Takenlijst!$C$5:$C$204,C$4))</f>
        <v/>
      </c>
      <c r="D22" s="16">
        <f>IF($A22="","",COUNTIFS(Takenlijst!$B$5:$B$204,$A22,Takenlijst!$C$5:$C$204,D$4))</f>
        <v/>
      </c>
      <c r="E22" s="16">
        <f>IF($A22="","",COUNTIFS(Takenlijst!$B$5:$B$204,$A22,Takenlijst!$C$5:$C$204,E$4))</f>
        <v/>
      </c>
      <c r="F22" s="16">
        <f>IF($A22="","",COUNTIFS(Takenlijst!$B$5:$B$204,$A22,Takenlijst!$C$5:$C$204,F$4))</f>
        <v/>
      </c>
      <c r="G22" s="16">
        <f>IF($A22="","",COUNTIFS(Takenlijst!$B$5:$B$204,$A22,Takenlijst!$C$5:$C$204,G$4))</f>
        <v/>
      </c>
      <c r="H22" s="16">
        <f>IF($A22="","",COUNTIFS(Takenlijst!$B$5:$B$204,$A22,Takenlijst!$C$5:$C$204,H$4))</f>
        <v/>
      </c>
      <c r="I22" s="16">
        <f>IF($A22="","",COUNTIFS(Takenlijst!$B$5:$B$204,$A22,Takenlijst!$C$5:$C$204,I$4))</f>
        <v/>
      </c>
      <c r="J22" s="16">
        <f>IF($A22="","",COUNTIFS(Takenlijst!$B$5:$B$204,$A22,Takenlijst!$C$5:$C$204,J$4))</f>
        <v/>
      </c>
      <c r="K22" s="16">
        <f>IF($A22="","",COUNTIFS(Takenlijst!$B$5:$B$204,$A22,Takenlijst!$C$5:$C$204,K$4))</f>
        <v/>
      </c>
      <c r="L22" s="16">
        <f>IF($A22="","",COUNTIFS(Takenlijst!$B$5:$B$204,$A22,Takenlijst!$C$5:$C$204,L$4))</f>
        <v/>
      </c>
      <c r="M22" s="16">
        <f>IF($A22="","",COUNTIFS(Takenlijst!$B$5:$B$204,$A22,Takenlijst!$C$5:$C$204,M$4))</f>
        <v/>
      </c>
      <c r="N22" s="16">
        <f>IF($A22="","",SUM(B22:M22))</f>
        <v/>
      </c>
    </row>
    <row r="23">
      <c r="A23" s="15">
        <f>IF(Plantregister!A23="","",Plantregister!A23)</f>
        <v/>
      </c>
      <c r="B23" s="16">
        <f>IF($A23="","",COUNTIFS(Takenlijst!$B$5:$B$204,$A23,Takenlijst!$C$5:$C$204,B$4))</f>
        <v/>
      </c>
      <c r="C23" s="16">
        <f>IF($A23="","",COUNTIFS(Takenlijst!$B$5:$B$204,$A23,Takenlijst!$C$5:$C$204,C$4))</f>
        <v/>
      </c>
      <c r="D23" s="16">
        <f>IF($A23="","",COUNTIFS(Takenlijst!$B$5:$B$204,$A23,Takenlijst!$C$5:$C$204,D$4))</f>
        <v/>
      </c>
      <c r="E23" s="16">
        <f>IF($A23="","",COUNTIFS(Takenlijst!$B$5:$B$204,$A23,Takenlijst!$C$5:$C$204,E$4))</f>
        <v/>
      </c>
      <c r="F23" s="16">
        <f>IF($A23="","",COUNTIFS(Takenlijst!$B$5:$B$204,$A23,Takenlijst!$C$5:$C$204,F$4))</f>
        <v/>
      </c>
      <c r="G23" s="16">
        <f>IF($A23="","",COUNTIFS(Takenlijst!$B$5:$B$204,$A23,Takenlijst!$C$5:$C$204,G$4))</f>
        <v/>
      </c>
      <c r="H23" s="16">
        <f>IF($A23="","",COUNTIFS(Takenlijst!$B$5:$B$204,$A23,Takenlijst!$C$5:$C$204,H$4))</f>
        <v/>
      </c>
      <c r="I23" s="16">
        <f>IF($A23="","",COUNTIFS(Takenlijst!$B$5:$B$204,$A23,Takenlijst!$C$5:$C$204,I$4))</f>
        <v/>
      </c>
      <c r="J23" s="16">
        <f>IF($A23="","",COUNTIFS(Takenlijst!$B$5:$B$204,$A23,Takenlijst!$C$5:$C$204,J$4))</f>
        <v/>
      </c>
      <c r="K23" s="16">
        <f>IF($A23="","",COUNTIFS(Takenlijst!$B$5:$B$204,$A23,Takenlijst!$C$5:$C$204,K$4))</f>
        <v/>
      </c>
      <c r="L23" s="16">
        <f>IF($A23="","",COUNTIFS(Takenlijst!$B$5:$B$204,$A23,Takenlijst!$C$5:$C$204,L$4))</f>
        <v/>
      </c>
      <c r="M23" s="16">
        <f>IF($A23="","",COUNTIFS(Takenlijst!$B$5:$B$204,$A23,Takenlijst!$C$5:$C$204,M$4))</f>
        <v/>
      </c>
      <c r="N23" s="16">
        <f>IF($A23="","",SUM(B23:M23))</f>
        <v/>
      </c>
    </row>
    <row r="24">
      <c r="A24" s="15">
        <f>IF(Plantregister!A24="","",Plantregister!A24)</f>
        <v/>
      </c>
      <c r="B24" s="16">
        <f>IF($A24="","",COUNTIFS(Takenlijst!$B$5:$B$204,$A24,Takenlijst!$C$5:$C$204,B$4))</f>
        <v/>
      </c>
      <c r="C24" s="16">
        <f>IF($A24="","",COUNTIFS(Takenlijst!$B$5:$B$204,$A24,Takenlijst!$C$5:$C$204,C$4))</f>
        <v/>
      </c>
      <c r="D24" s="16">
        <f>IF($A24="","",COUNTIFS(Takenlijst!$B$5:$B$204,$A24,Takenlijst!$C$5:$C$204,D$4))</f>
        <v/>
      </c>
      <c r="E24" s="16">
        <f>IF($A24="","",COUNTIFS(Takenlijst!$B$5:$B$204,$A24,Takenlijst!$C$5:$C$204,E$4))</f>
        <v/>
      </c>
      <c r="F24" s="16">
        <f>IF($A24="","",COUNTIFS(Takenlijst!$B$5:$B$204,$A24,Takenlijst!$C$5:$C$204,F$4))</f>
        <v/>
      </c>
      <c r="G24" s="16">
        <f>IF($A24="","",COUNTIFS(Takenlijst!$B$5:$B$204,$A24,Takenlijst!$C$5:$C$204,G$4))</f>
        <v/>
      </c>
      <c r="H24" s="16">
        <f>IF($A24="","",COUNTIFS(Takenlijst!$B$5:$B$204,$A24,Takenlijst!$C$5:$C$204,H$4))</f>
        <v/>
      </c>
      <c r="I24" s="16">
        <f>IF($A24="","",COUNTIFS(Takenlijst!$B$5:$B$204,$A24,Takenlijst!$C$5:$C$204,I$4))</f>
        <v/>
      </c>
      <c r="J24" s="16">
        <f>IF($A24="","",COUNTIFS(Takenlijst!$B$5:$B$204,$A24,Takenlijst!$C$5:$C$204,J$4))</f>
        <v/>
      </c>
      <c r="K24" s="16">
        <f>IF($A24="","",COUNTIFS(Takenlijst!$B$5:$B$204,$A24,Takenlijst!$C$5:$C$204,K$4))</f>
        <v/>
      </c>
      <c r="L24" s="16">
        <f>IF($A24="","",COUNTIFS(Takenlijst!$B$5:$B$204,$A24,Takenlijst!$C$5:$C$204,L$4))</f>
        <v/>
      </c>
      <c r="M24" s="16">
        <f>IF($A24="","",COUNTIFS(Takenlijst!$B$5:$B$204,$A24,Takenlijst!$C$5:$C$204,M$4))</f>
        <v/>
      </c>
      <c r="N24" s="16">
        <f>IF($A24="","",SUM(B24:M24))</f>
        <v/>
      </c>
    </row>
    <row r="25">
      <c r="A25" s="15">
        <f>IF(Plantregister!A25="","",Plantregister!A25)</f>
        <v/>
      </c>
      <c r="B25" s="16">
        <f>IF($A25="","",COUNTIFS(Takenlijst!$B$5:$B$204,$A25,Takenlijst!$C$5:$C$204,B$4))</f>
        <v/>
      </c>
      <c r="C25" s="16">
        <f>IF($A25="","",COUNTIFS(Takenlijst!$B$5:$B$204,$A25,Takenlijst!$C$5:$C$204,C$4))</f>
        <v/>
      </c>
      <c r="D25" s="16">
        <f>IF($A25="","",COUNTIFS(Takenlijst!$B$5:$B$204,$A25,Takenlijst!$C$5:$C$204,D$4))</f>
        <v/>
      </c>
      <c r="E25" s="16">
        <f>IF($A25="","",COUNTIFS(Takenlijst!$B$5:$B$204,$A25,Takenlijst!$C$5:$C$204,E$4))</f>
        <v/>
      </c>
      <c r="F25" s="16">
        <f>IF($A25="","",COUNTIFS(Takenlijst!$B$5:$B$204,$A25,Takenlijst!$C$5:$C$204,F$4))</f>
        <v/>
      </c>
      <c r="G25" s="16">
        <f>IF($A25="","",COUNTIFS(Takenlijst!$B$5:$B$204,$A25,Takenlijst!$C$5:$C$204,G$4))</f>
        <v/>
      </c>
      <c r="H25" s="16">
        <f>IF($A25="","",COUNTIFS(Takenlijst!$B$5:$B$204,$A25,Takenlijst!$C$5:$C$204,H$4))</f>
        <v/>
      </c>
      <c r="I25" s="16">
        <f>IF($A25="","",COUNTIFS(Takenlijst!$B$5:$B$204,$A25,Takenlijst!$C$5:$C$204,I$4))</f>
        <v/>
      </c>
      <c r="J25" s="16">
        <f>IF($A25="","",COUNTIFS(Takenlijst!$B$5:$B$204,$A25,Takenlijst!$C$5:$C$204,J$4))</f>
        <v/>
      </c>
      <c r="K25" s="16">
        <f>IF($A25="","",COUNTIFS(Takenlijst!$B$5:$B$204,$A25,Takenlijst!$C$5:$C$204,K$4))</f>
        <v/>
      </c>
      <c r="L25" s="16">
        <f>IF($A25="","",COUNTIFS(Takenlijst!$B$5:$B$204,$A25,Takenlijst!$C$5:$C$204,L$4))</f>
        <v/>
      </c>
      <c r="M25" s="16">
        <f>IF($A25="","",COUNTIFS(Takenlijst!$B$5:$B$204,$A25,Takenlijst!$C$5:$C$204,M$4))</f>
        <v/>
      </c>
      <c r="N25" s="16">
        <f>IF($A25="","",SUM(B25:M25))</f>
        <v/>
      </c>
    </row>
    <row r="26">
      <c r="A26" s="15">
        <f>IF(Plantregister!A26="","",Plantregister!A26)</f>
        <v/>
      </c>
      <c r="B26" s="16">
        <f>IF($A26="","",COUNTIFS(Takenlijst!$B$5:$B$204,$A26,Takenlijst!$C$5:$C$204,B$4))</f>
        <v/>
      </c>
      <c r="C26" s="16">
        <f>IF($A26="","",COUNTIFS(Takenlijst!$B$5:$B$204,$A26,Takenlijst!$C$5:$C$204,C$4))</f>
        <v/>
      </c>
      <c r="D26" s="16">
        <f>IF($A26="","",COUNTIFS(Takenlijst!$B$5:$B$204,$A26,Takenlijst!$C$5:$C$204,D$4))</f>
        <v/>
      </c>
      <c r="E26" s="16">
        <f>IF($A26="","",COUNTIFS(Takenlijst!$B$5:$B$204,$A26,Takenlijst!$C$5:$C$204,E$4))</f>
        <v/>
      </c>
      <c r="F26" s="16">
        <f>IF($A26="","",COUNTIFS(Takenlijst!$B$5:$B$204,$A26,Takenlijst!$C$5:$C$204,F$4))</f>
        <v/>
      </c>
      <c r="G26" s="16">
        <f>IF($A26="","",COUNTIFS(Takenlijst!$B$5:$B$204,$A26,Takenlijst!$C$5:$C$204,G$4))</f>
        <v/>
      </c>
      <c r="H26" s="16">
        <f>IF($A26="","",COUNTIFS(Takenlijst!$B$5:$B$204,$A26,Takenlijst!$C$5:$C$204,H$4))</f>
        <v/>
      </c>
      <c r="I26" s="16">
        <f>IF($A26="","",COUNTIFS(Takenlijst!$B$5:$B$204,$A26,Takenlijst!$C$5:$C$204,I$4))</f>
        <v/>
      </c>
      <c r="J26" s="16">
        <f>IF($A26="","",COUNTIFS(Takenlijst!$B$5:$B$204,$A26,Takenlijst!$C$5:$C$204,J$4))</f>
        <v/>
      </c>
      <c r="K26" s="16">
        <f>IF($A26="","",COUNTIFS(Takenlijst!$B$5:$B$204,$A26,Takenlijst!$C$5:$C$204,K$4))</f>
        <v/>
      </c>
      <c r="L26" s="16">
        <f>IF($A26="","",COUNTIFS(Takenlijst!$B$5:$B$204,$A26,Takenlijst!$C$5:$C$204,L$4))</f>
        <v/>
      </c>
      <c r="M26" s="16">
        <f>IF($A26="","",COUNTIFS(Takenlijst!$B$5:$B$204,$A26,Takenlijst!$C$5:$C$204,M$4))</f>
        <v/>
      </c>
      <c r="N26" s="16">
        <f>IF($A26="","",SUM(B26:M26))</f>
        <v/>
      </c>
    </row>
    <row r="27">
      <c r="A27" s="15">
        <f>IF(Plantregister!A27="","",Plantregister!A27)</f>
        <v/>
      </c>
      <c r="B27" s="16">
        <f>IF($A27="","",COUNTIFS(Takenlijst!$B$5:$B$204,$A27,Takenlijst!$C$5:$C$204,B$4))</f>
        <v/>
      </c>
      <c r="C27" s="16">
        <f>IF($A27="","",COUNTIFS(Takenlijst!$B$5:$B$204,$A27,Takenlijst!$C$5:$C$204,C$4))</f>
        <v/>
      </c>
      <c r="D27" s="16">
        <f>IF($A27="","",COUNTIFS(Takenlijst!$B$5:$B$204,$A27,Takenlijst!$C$5:$C$204,D$4))</f>
        <v/>
      </c>
      <c r="E27" s="16">
        <f>IF($A27="","",COUNTIFS(Takenlijst!$B$5:$B$204,$A27,Takenlijst!$C$5:$C$204,E$4))</f>
        <v/>
      </c>
      <c r="F27" s="16">
        <f>IF($A27="","",COUNTIFS(Takenlijst!$B$5:$B$204,$A27,Takenlijst!$C$5:$C$204,F$4))</f>
        <v/>
      </c>
      <c r="G27" s="16">
        <f>IF($A27="","",COUNTIFS(Takenlijst!$B$5:$B$204,$A27,Takenlijst!$C$5:$C$204,G$4))</f>
        <v/>
      </c>
      <c r="H27" s="16">
        <f>IF($A27="","",COUNTIFS(Takenlijst!$B$5:$B$204,$A27,Takenlijst!$C$5:$C$204,H$4))</f>
        <v/>
      </c>
      <c r="I27" s="16">
        <f>IF($A27="","",COUNTIFS(Takenlijst!$B$5:$B$204,$A27,Takenlijst!$C$5:$C$204,I$4))</f>
        <v/>
      </c>
      <c r="J27" s="16">
        <f>IF($A27="","",COUNTIFS(Takenlijst!$B$5:$B$204,$A27,Takenlijst!$C$5:$C$204,J$4))</f>
        <v/>
      </c>
      <c r="K27" s="16">
        <f>IF($A27="","",COUNTIFS(Takenlijst!$B$5:$B$204,$A27,Takenlijst!$C$5:$C$204,K$4))</f>
        <v/>
      </c>
      <c r="L27" s="16">
        <f>IF($A27="","",COUNTIFS(Takenlijst!$B$5:$B$204,$A27,Takenlijst!$C$5:$C$204,L$4))</f>
        <v/>
      </c>
      <c r="M27" s="16">
        <f>IF($A27="","",COUNTIFS(Takenlijst!$B$5:$B$204,$A27,Takenlijst!$C$5:$C$204,M$4))</f>
        <v/>
      </c>
      <c r="N27" s="16">
        <f>IF($A27="","",SUM(B27:M27))</f>
        <v/>
      </c>
    </row>
    <row r="28">
      <c r="A28" s="15">
        <f>IF(Plantregister!A28="","",Plantregister!A28)</f>
        <v/>
      </c>
      <c r="B28" s="16">
        <f>IF($A28="","",COUNTIFS(Takenlijst!$B$5:$B$204,$A28,Takenlijst!$C$5:$C$204,B$4))</f>
        <v/>
      </c>
      <c r="C28" s="16">
        <f>IF($A28="","",COUNTIFS(Takenlijst!$B$5:$B$204,$A28,Takenlijst!$C$5:$C$204,C$4))</f>
        <v/>
      </c>
      <c r="D28" s="16">
        <f>IF($A28="","",COUNTIFS(Takenlijst!$B$5:$B$204,$A28,Takenlijst!$C$5:$C$204,D$4))</f>
        <v/>
      </c>
      <c r="E28" s="16">
        <f>IF($A28="","",COUNTIFS(Takenlijst!$B$5:$B$204,$A28,Takenlijst!$C$5:$C$204,E$4))</f>
        <v/>
      </c>
      <c r="F28" s="16">
        <f>IF($A28="","",COUNTIFS(Takenlijst!$B$5:$B$204,$A28,Takenlijst!$C$5:$C$204,F$4))</f>
        <v/>
      </c>
      <c r="G28" s="16">
        <f>IF($A28="","",COUNTIFS(Takenlijst!$B$5:$B$204,$A28,Takenlijst!$C$5:$C$204,G$4))</f>
        <v/>
      </c>
      <c r="H28" s="16">
        <f>IF($A28="","",COUNTIFS(Takenlijst!$B$5:$B$204,$A28,Takenlijst!$C$5:$C$204,H$4))</f>
        <v/>
      </c>
      <c r="I28" s="16">
        <f>IF($A28="","",COUNTIFS(Takenlijst!$B$5:$B$204,$A28,Takenlijst!$C$5:$C$204,I$4))</f>
        <v/>
      </c>
      <c r="J28" s="16">
        <f>IF($A28="","",COUNTIFS(Takenlijst!$B$5:$B$204,$A28,Takenlijst!$C$5:$C$204,J$4))</f>
        <v/>
      </c>
      <c r="K28" s="16">
        <f>IF($A28="","",COUNTIFS(Takenlijst!$B$5:$B$204,$A28,Takenlijst!$C$5:$C$204,K$4))</f>
        <v/>
      </c>
      <c r="L28" s="16">
        <f>IF($A28="","",COUNTIFS(Takenlijst!$B$5:$B$204,$A28,Takenlijst!$C$5:$C$204,L$4))</f>
        <v/>
      </c>
      <c r="M28" s="16">
        <f>IF($A28="","",COUNTIFS(Takenlijst!$B$5:$B$204,$A28,Takenlijst!$C$5:$C$204,M$4))</f>
        <v/>
      </c>
      <c r="N28" s="16">
        <f>IF($A28="","",SUM(B28:M28))</f>
        <v/>
      </c>
    </row>
    <row r="29">
      <c r="A29" s="15">
        <f>IF(Plantregister!A29="","",Plantregister!A29)</f>
        <v/>
      </c>
      <c r="B29" s="16">
        <f>IF($A29="","",COUNTIFS(Takenlijst!$B$5:$B$204,$A29,Takenlijst!$C$5:$C$204,B$4))</f>
        <v/>
      </c>
      <c r="C29" s="16">
        <f>IF($A29="","",COUNTIFS(Takenlijst!$B$5:$B$204,$A29,Takenlijst!$C$5:$C$204,C$4))</f>
        <v/>
      </c>
      <c r="D29" s="16">
        <f>IF($A29="","",COUNTIFS(Takenlijst!$B$5:$B$204,$A29,Takenlijst!$C$5:$C$204,D$4))</f>
        <v/>
      </c>
      <c r="E29" s="16">
        <f>IF($A29="","",COUNTIFS(Takenlijst!$B$5:$B$204,$A29,Takenlijst!$C$5:$C$204,E$4))</f>
        <v/>
      </c>
      <c r="F29" s="16">
        <f>IF($A29="","",COUNTIFS(Takenlijst!$B$5:$B$204,$A29,Takenlijst!$C$5:$C$204,F$4))</f>
        <v/>
      </c>
      <c r="G29" s="16">
        <f>IF($A29="","",COUNTIFS(Takenlijst!$B$5:$B$204,$A29,Takenlijst!$C$5:$C$204,G$4))</f>
        <v/>
      </c>
      <c r="H29" s="16">
        <f>IF($A29="","",COUNTIFS(Takenlijst!$B$5:$B$204,$A29,Takenlijst!$C$5:$C$204,H$4))</f>
        <v/>
      </c>
      <c r="I29" s="16">
        <f>IF($A29="","",COUNTIFS(Takenlijst!$B$5:$B$204,$A29,Takenlijst!$C$5:$C$204,I$4))</f>
        <v/>
      </c>
      <c r="J29" s="16">
        <f>IF($A29="","",COUNTIFS(Takenlijst!$B$5:$B$204,$A29,Takenlijst!$C$5:$C$204,J$4))</f>
        <v/>
      </c>
      <c r="K29" s="16">
        <f>IF($A29="","",COUNTIFS(Takenlijst!$B$5:$B$204,$A29,Takenlijst!$C$5:$C$204,K$4))</f>
        <v/>
      </c>
      <c r="L29" s="16">
        <f>IF($A29="","",COUNTIFS(Takenlijst!$B$5:$B$204,$A29,Takenlijst!$C$5:$C$204,L$4))</f>
        <v/>
      </c>
      <c r="M29" s="16">
        <f>IF($A29="","",COUNTIFS(Takenlijst!$B$5:$B$204,$A29,Takenlijst!$C$5:$C$204,M$4))</f>
        <v/>
      </c>
      <c r="N29" s="16">
        <f>IF($A29="","",SUM(B29:M29))</f>
        <v/>
      </c>
    </row>
    <row r="30">
      <c r="A30" s="15">
        <f>IF(Plantregister!A30="","",Plantregister!A30)</f>
        <v/>
      </c>
      <c r="B30" s="16">
        <f>IF($A30="","",COUNTIFS(Takenlijst!$B$5:$B$204,$A30,Takenlijst!$C$5:$C$204,B$4))</f>
        <v/>
      </c>
      <c r="C30" s="16">
        <f>IF($A30="","",COUNTIFS(Takenlijst!$B$5:$B$204,$A30,Takenlijst!$C$5:$C$204,C$4))</f>
        <v/>
      </c>
      <c r="D30" s="16">
        <f>IF($A30="","",COUNTIFS(Takenlijst!$B$5:$B$204,$A30,Takenlijst!$C$5:$C$204,D$4))</f>
        <v/>
      </c>
      <c r="E30" s="16">
        <f>IF($A30="","",COUNTIFS(Takenlijst!$B$5:$B$204,$A30,Takenlijst!$C$5:$C$204,E$4))</f>
        <v/>
      </c>
      <c r="F30" s="16">
        <f>IF($A30="","",COUNTIFS(Takenlijst!$B$5:$B$204,$A30,Takenlijst!$C$5:$C$204,F$4))</f>
        <v/>
      </c>
      <c r="G30" s="16">
        <f>IF($A30="","",COUNTIFS(Takenlijst!$B$5:$B$204,$A30,Takenlijst!$C$5:$C$204,G$4))</f>
        <v/>
      </c>
      <c r="H30" s="16">
        <f>IF($A30="","",COUNTIFS(Takenlijst!$B$5:$B$204,$A30,Takenlijst!$C$5:$C$204,H$4))</f>
        <v/>
      </c>
      <c r="I30" s="16">
        <f>IF($A30="","",COUNTIFS(Takenlijst!$B$5:$B$204,$A30,Takenlijst!$C$5:$C$204,I$4))</f>
        <v/>
      </c>
      <c r="J30" s="16">
        <f>IF($A30="","",COUNTIFS(Takenlijst!$B$5:$B$204,$A30,Takenlijst!$C$5:$C$204,J$4))</f>
        <v/>
      </c>
      <c r="K30" s="16">
        <f>IF($A30="","",COUNTIFS(Takenlijst!$B$5:$B$204,$A30,Takenlijst!$C$5:$C$204,K$4))</f>
        <v/>
      </c>
      <c r="L30" s="16">
        <f>IF($A30="","",COUNTIFS(Takenlijst!$B$5:$B$204,$A30,Takenlijst!$C$5:$C$204,L$4))</f>
        <v/>
      </c>
      <c r="M30" s="16">
        <f>IF($A30="","",COUNTIFS(Takenlijst!$B$5:$B$204,$A30,Takenlijst!$C$5:$C$204,M$4))</f>
        <v/>
      </c>
      <c r="N30" s="16">
        <f>IF($A30="","",SUM(B30:M30))</f>
        <v/>
      </c>
    </row>
    <row r="31">
      <c r="A31" s="15">
        <f>IF(Plantregister!A31="","",Plantregister!A31)</f>
        <v/>
      </c>
      <c r="B31" s="16">
        <f>IF($A31="","",COUNTIFS(Takenlijst!$B$5:$B$204,$A31,Takenlijst!$C$5:$C$204,B$4))</f>
        <v/>
      </c>
      <c r="C31" s="16">
        <f>IF($A31="","",COUNTIFS(Takenlijst!$B$5:$B$204,$A31,Takenlijst!$C$5:$C$204,C$4))</f>
        <v/>
      </c>
      <c r="D31" s="16">
        <f>IF($A31="","",COUNTIFS(Takenlijst!$B$5:$B$204,$A31,Takenlijst!$C$5:$C$204,D$4))</f>
        <v/>
      </c>
      <c r="E31" s="16">
        <f>IF($A31="","",COUNTIFS(Takenlijst!$B$5:$B$204,$A31,Takenlijst!$C$5:$C$204,E$4))</f>
        <v/>
      </c>
      <c r="F31" s="16">
        <f>IF($A31="","",COUNTIFS(Takenlijst!$B$5:$B$204,$A31,Takenlijst!$C$5:$C$204,F$4))</f>
        <v/>
      </c>
      <c r="G31" s="16">
        <f>IF($A31="","",COUNTIFS(Takenlijst!$B$5:$B$204,$A31,Takenlijst!$C$5:$C$204,G$4))</f>
        <v/>
      </c>
      <c r="H31" s="16">
        <f>IF($A31="","",COUNTIFS(Takenlijst!$B$5:$B$204,$A31,Takenlijst!$C$5:$C$204,H$4))</f>
        <v/>
      </c>
      <c r="I31" s="16">
        <f>IF($A31="","",COUNTIFS(Takenlijst!$B$5:$B$204,$A31,Takenlijst!$C$5:$C$204,I$4))</f>
        <v/>
      </c>
      <c r="J31" s="16">
        <f>IF($A31="","",COUNTIFS(Takenlijst!$B$5:$B$204,$A31,Takenlijst!$C$5:$C$204,J$4))</f>
        <v/>
      </c>
      <c r="K31" s="16">
        <f>IF($A31="","",COUNTIFS(Takenlijst!$B$5:$B$204,$A31,Takenlijst!$C$5:$C$204,K$4))</f>
        <v/>
      </c>
      <c r="L31" s="16">
        <f>IF($A31="","",COUNTIFS(Takenlijst!$B$5:$B$204,$A31,Takenlijst!$C$5:$C$204,L$4))</f>
        <v/>
      </c>
      <c r="M31" s="16">
        <f>IF($A31="","",COUNTIFS(Takenlijst!$B$5:$B$204,$A31,Takenlijst!$C$5:$C$204,M$4))</f>
        <v/>
      </c>
      <c r="N31" s="16">
        <f>IF($A31="","",SUM(B31:M31))</f>
        <v/>
      </c>
    </row>
    <row r="32">
      <c r="A32" s="15">
        <f>IF(Plantregister!A32="","",Plantregister!A32)</f>
        <v/>
      </c>
      <c r="B32" s="16">
        <f>IF($A32="","",COUNTIFS(Takenlijst!$B$5:$B$204,$A32,Takenlijst!$C$5:$C$204,B$4))</f>
        <v/>
      </c>
      <c r="C32" s="16">
        <f>IF($A32="","",COUNTIFS(Takenlijst!$B$5:$B$204,$A32,Takenlijst!$C$5:$C$204,C$4))</f>
        <v/>
      </c>
      <c r="D32" s="16">
        <f>IF($A32="","",COUNTIFS(Takenlijst!$B$5:$B$204,$A32,Takenlijst!$C$5:$C$204,D$4))</f>
        <v/>
      </c>
      <c r="E32" s="16">
        <f>IF($A32="","",COUNTIFS(Takenlijst!$B$5:$B$204,$A32,Takenlijst!$C$5:$C$204,E$4))</f>
        <v/>
      </c>
      <c r="F32" s="16">
        <f>IF($A32="","",COUNTIFS(Takenlijst!$B$5:$B$204,$A32,Takenlijst!$C$5:$C$204,F$4))</f>
        <v/>
      </c>
      <c r="G32" s="16">
        <f>IF($A32="","",COUNTIFS(Takenlijst!$B$5:$B$204,$A32,Takenlijst!$C$5:$C$204,G$4))</f>
        <v/>
      </c>
      <c r="H32" s="16">
        <f>IF($A32="","",COUNTIFS(Takenlijst!$B$5:$B$204,$A32,Takenlijst!$C$5:$C$204,H$4))</f>
        <v/>
      </c>
      <c r="I32" s="16">
        <f>IF($A32="","",COUNTIFS(Takenlijst!$B$5:$B$204,$A32,Takenlijst!$C$5:$C$204,I$4))</f>
        <v/>
      </c>
      <c r="J32" s="16">
        <f>IF($A32="","",COUNTIFS(Takenlijst!$B$5:$B$204,$A32,Takenlijst!$C$5:$C$204,J$4))</f>
        <v/>
      </c>
      <c r="K32" s="16">
        <f>IF($A32="","",COUNTIFS(Takenlijst!$B$5:$B$204,$A32,Takenlijst!$C$5:$C$204,K$4))</f>
        <v/>
      </c>
      <c r="L32" s="16">
        <f>IF($A32="","",COUNTIFS(Takenlijst!$B$5:$B$204,$A32,Takenlijst!$C$5:$C$204,L$4))</f>
        <v/>
      </c>
      <c r="M32" s="16">
        <f>IF($A32="","",COUNTIFS(Takenlijst!$B$5:$B$204,$A32,Takenlijst!$C$5:$C$204,M$4))</f>
        <v/>
      </c>
      <c r="N32" s="16">
        <f>IF($A32="","",SUM(B32:M32))</f>
        <v/>
      </c>
    </row>
    <row r="33">
      <c r="A33" s="15">
        <f>IF(Plantregister!A33="","",Plantregister!A33)</f>
        <v/>
      </c>
      <c r="B33" s="16">
        <f>IF($A33="","",COUNTIFS(Takenlijst!$B$5:$B$204,$A33,Takenlijst!$C$5:$C$204,B$4))</f>
        <v/>
      </c>
      <c r="C33" s="16">
        <f>IF($A33="","",COUNTIFS(Takenlijst!$B$5:$B$204,$A33,Takenlijst!$C$5:$C$204,C$4))</f>
        <v/>
      </c>
      <c r="D33" s="16">
        <f>IF($A33="","",COUNTIFS(Takenlijst!$B$5:$B$204,$A33,Takenlijst!$C$5:$C$204,D$4))</f>
        <v/>
      </c>
      <c r="E33" s="16">
        <f>IF($A33="","",COUNTIFS(Takenlijst!$B$5:$B$204,$A33,Takenlijst!$C$5:$C$204,E$4))</f>
        <v/>
      </c>
      <c r="F33" s="16">
        <f>IF($A33="","",COUNTIFS(Takenlijst!$B$5:$B$204,$A33,Takenlijst!$C$5:$C$204,F$4))</f>
        <v/>
      </c>
      <c r="G33" s="16">
        <f>IF($A33="","",COUNTIFS(Takenlijst!$B$5:$B$204,$A33,Takenlijst!$C$5:$C$204,G$4))</f>
        <v/>
      </c>
      <c r="H33" s="16">
        <f>IF($A33="","",COUNTIFS(Takenlijst!$B$5:$B$204,$A33,Takenlijst!$C$5:$C$204,H$4))</f>
        <v/>
      </c>
      <c r="I33" s="16">
        <f>IF($A33="","",COUNTIFS(Takenlijst!$B$5:$B$204,$A33,Takenlijst!$C$5:$C$204,I$4))</f>
        <v/>
      </c>
      <c r="J33" s="16">
        <f>IF($A33="","",COUNTIFS(Takenlijst!$B$5:$B$204,$A33,Takenlijst!$C$5:$C$204,J$4))</f>
        <v/>
      </c>
      <c r="K33" s="16">
        <f>IF($A33="","",COUNTIFS(Takenlijst!$B$5:$B$204,$A33,Takenlijst!$C$5:$C$204,K$4))</f>
        <v/>
      </c>
      <c r="L33" s="16">
        <f>IF($A33="","",COUNTIFS(Takenlijst!$B$5:$B$204,$A33,Takenlijst!$C$5:$C$204,L$4))</f>
        <v/>
      </c>
      <c r="M33" s="16">
        <f>IF($A33="","",COUNTIFS(Takenlijst!$B$5:$B$204,$A33,Takenlijst!$C$5:$C$204,M$4))</f>
        <v/>
      </c>
      <c r="N33" s="16">
        <f>IF($A33="","",SUM(B33:M33))</f>
        <v/>
      </c>
    </row>
    <row r="34">
      <c r="A34" s="15">
        <f>IF(Plantregister!A34="","",Plantregister!A34)</f>
        <v/>
      </c>
      <c r="B34" s="16">
        <f>IF($A34="","",COUNTIFS(Takenlijst!$B$5:$B$204,$A34,Takenlijst!$C$5:$C$204,B$4))</f>
        <v/>
      </c>
      <c r="C34" s="16">
        <f>IF($A34="","",COUNTIFS(Takenlijst!$B$5:$B$204,$A34,Takenlijst!$C$5:$C$204,C$4))</f>
        <v/>
      </c>
      <c r="D34" s="16">
        <f>IF($A34="","",COUNTIFS(Takenlijst!$B$5:$B$204,$A34,Takenlijst!$C$5:$C$204,D$4))</f>
        <v/>
      </c>
      <c r="E34" s="16">
        <f>IF($A34="","",COUNTIFS(Takenlijst!$B$5:$B$204,$A34,Takenlijst!$C$5:$C$204,E$4))</f>
        <v/>
      </c>
      <c r="F34" s="16">
        <f>IF($A34="","",COUNTIFS(Takenlijst!$B$5:$B$204,$A34,Takenlijst!$C$5:$C$204,F$4))</f>
        <v/>
      </c>
      <c r="G34" s="16">
        <f>IF($A34="","",COUNTIFS(Takenlijst!$B$5:$B$204,$A34,Takenlijst!$C$5:$C$204,G$4))</f>
        <v/>
      </c>
      <c r="H34" s="16">
        <f>IF($A34="","",COUNTIFS(Takenlijst!$B$5:$B$204,$A34,Takenlijst!$C$5:$C$204,H$4))</f>
        <v/>
      </c>
      <c r="I34" s="16">
        <f>IF($A34="","",COUNTIFS(Takenlijst!$B$5:$B$204,$A34,Takenlijst!$C$5:$C$204,I$4))</f>
        <v/>
      </c>
      <c r="J34" s="16">
        <f>IF($A34="","",COUNTIFS(Takenlijst!$B$5:$B$204,$A34,Takenlijst!$C$5:$C$204,J$4))</f>
        <v/>
      </c>
      <c r="K34" s="16">
        <f>IF($A34="","",COUNTIFS(Takenlijst!$B$5:$B$204,$A34,Takenlijst!$C$5:$C$204,K$4))</f>
        <v/>
      </c>
      <c r="L34" s="16">
        <f>IF($A34="","",COUNTIFS(Takenlijst!$B$5:$B$204,$A34,Takenlijst!$C$5:$C$204,L$4))</f>
        <v/>
      </c>
      <c r="M34" s="16">
        <f>IF($A34="","",COUNTIFS(Takenlijst!$B$5:$B$204,$A34,Takenlijst!$C$5:$C$204,M$4))</f>
        <v/>
      </c>
      <c r="N34" s="16">
        <f>IF($A34="","",SUM(B34:M34))</f>
        <v/>
      </c>
    </row>
  </sheetData>
  <mergeCells count="2">
    <mergeCell ref="A2:N2"/>
    <mergeCell ref="A1:N1"/>
  </mergeCells>
  <conditionalFormatting sqref="B5:M34">
    <cfRule type="colorScale" priority="1">
      <colorScale>
        <cfvo type="num" val="0"/>
        <cfvo type="num" val="1"/>
        <cfvo type="num" val="4"/>
        <color rgb="00FFFFFF"/>
        <color rgb="00FFF2CC"/>
        <color rgb="00F4B183"/>
      </colorScale>
    </cfRule>
  </conditionalFormatting>
  <conditionalFormatting sqref="N5:N34">
    <cfRule type="colorScale" priority="2">
      <colorScale>
        <cfvo type="num" val="0"/>
        <cfvo type="num" val="6"/>
        <cfvo type="num" val="20"/>
        <color rgb="00FFFFFF"/>
        <color rgb="00DDEBF7"/>
        <color rgb="009DC3E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2" customWidth="1" min="4" max="4"/>
    <col width="14" customWidth="1" min="5" max="5"/>
    <col width="40" customWidth="1" min="6" max="6"/>
  </cols>
  <sheetData>
    <row r="1" ht="24" customHeight="1">
      <c r="A1" s="1" t="inlineStr">
        <is>
          <t>Plantregister</t>
        </is>
      </c>
    </row>
    <row r="2">
      <c r="A2" s="2" t="inlineStr">
        <is>
          <t>Vul hier al je planten in. Het dashboard en jaaroverzicht pakken deze lijst automatisch op.</t>
        </is>
      </c>
    </row>
    <row r="4">
      <c r="A4" s="17" t="inlineStr">
        <is>
          <t>Plant</t>
        </is>
      </c>
      <c r="B4" s="17" t="inlineStr">
        <is>
          <t>Type</t>
        </is>
      </c>
      <c r="C4" s="17" t="inlineStr">
        <is>
          <t>Snoeigroep</t>
        </is>
      </c>
      <c r="D4" s="17" t="inlineStr">
        <is>
          <t>Standplaats</t>
        </is>
      </c>
      <c r="E4" s="17" t="inlineStr">
        <is>
          <t>Winterhard</t>
        </is>
      </c>
      <c r="F4" s="17" t="inlineStr">
        <is>
          <t>Notitie</t>
        </is>
      </c>
    </row>
    <row r="5">
      <c r="A5" s="18" t="inlineStr">
        <is>
          <t>Fuchsia</t>
        </is>
      </c>
      <c r="B5" s="19" t="inlineStr">
        <is>
          <t>Heester / kuipplant</t>
        </is>
      </c>
      <c r="C5" s="19" t="inlineStr">
        <is>
          <t>Licht tot matig snoeien</t>
        </is>
      </c>
      <c r="D5" s="19" t="inlineStr">
        <is>
          <t>Halfschaduw / zon</t>
        </is>
      </c>
      <c r="E5" s="19" t="inlineStr">
        <is>
          <t>Beperkt</t>
        </is>
      </c>
      <c r="F5" s="19" t="inlineStr">
        <is>
          <t>Voorbeeldplant - vorstgevoelig, vaak in pot</t>
        </is>
      </c>
    </row>
    <row r="6">
      <c r="A6" s="18" t="inlineStr">
        <is>
          <t>Syringa vulgaris</t>
        </is>
      </c>
      <c r="B6" s="19" t="inlineStr">
        <is>
          <t>Heester</t>
        </is>
      </c>
      <c r="C6" s="19" t="inlineStr">
        <is>
          <t>Snoeien na bloei</t>
        </is>
      </c>
      <c r="D6" s="19" t="inlineStr">
        <is>
          <t>Zon / halfschaduw</t>
        </is>
      </c>
      <c r="E6" s="19" t="inlineStr">
        <is>
          <t>Ja</t>
        </is>
      </c>
      <c r="F6" s="19" t="inlineStr">
        <is>
          <t>Sering - direct na de bloei licht uitdunnen en vormhouden</t>
        </is>
      </c>
    </row>
    <row r="7">
      <c r="A7" s="18" t="inlineStr">
        <is>
          <t>Meidoorn</t>
        </is>
      </c>
      <c r="B7" s="19" t="inlineStr">
        <is>
          <t>Boom / heester</t>
        </is>
      </c>
      <c r="C7" s="19" t="inlineStr">
        <is>
          <t>Vormsnoei winter</t>
        </is>
      </c>
      <c r="D7" s="19" t="inlineStr">
        <is>
          <t>Zon</t>
        </is>
      </c>
      <c r="E7" s="19" t="inlineStr">
        <is>
          <t>Ja</t>
        </is>
      </c>
      <c r="F7" s="19" t="inlineStr">
        <is>
          <t>Kan als boom of haag worden gesnoeid; verwijder kruisende takken</t>
        </is>
      </c>
    </row>
    <row r="8">
      <c r="A8" s="18" t="inlineStr">
        <is>
          <t>Boerenhortensia</t>
        </is>
      </c>
      <c r="B8" s="19" t="inlineStr">
        <is>
          <t>Heester</t>
        </is>
      </c>
      <c r="C8" s="19" t="inlineStr">
        <is>
          <t>Licht snoeien</t>
        </is>
      </c>
      <c r="D8" s="19" t="inlineStr">
        <is>
          <t>Halfschaduw</t>
        </is>
      </c>
      <c r="E8" s="19" t="inlineStr">
        <is>
          <t>Ja</t>
        </is>
      </c>
      <c r="F8" s="19" t="inlineStr">
        <is>
          <t>Bloeit op oud hout; in voorjaar alleen dode toppen en oude bloemen wegknippen</t>
        </is>
      </c>
    </row>
    <row r="9">
      <c r="A9" s="18" t="inlineStr">
        <is>
          <t>Cotoneaster horizontalis</t>
        </is>
      </c>
      <c r="B9" s="19" t="inlineStr">
        <is>
          <t>Heester / bodembedekker</t>
        </is>
      </c>
      <c r="C9" s="19" t="inlineStr">
        <is>
          <t>Onderhoudssnoei</t>
        </is>
      </c>
      <c r="D9" s="19" t="inlineStr">
        <is>
          <t>Zon / halfschaduw</t>
        </is>
      </c>
      <c r="E9" s="19" t="inlineStr">
        <is>
          <t>Ja</t>
        </is>
      </c>
      <c r="F9" s="19" t="inlineStr">
        <is>
          <t>Na bloei of in het vroege voorjaar licht terugknippen</t>
        </is>
      </c>
    </row>
    <row r="10">
      <c r="A10" s="18" t="inlineStr">
        <is>
          <t>Paeonia</t>
        </is>
      </c>
      <c r="B10" s="19" t="inlineStr">
        <is>
          <t>Vaste plant</t>
        </is>
      </c>
      <c r="C10" s="19" t="inlineStr">
        <is>
          <t>Herfst terugknippen</t>
        </is>
      </c>
      <c r="D10" s="19" t="inlineStr">
        <is>
          <t>Zon</t>
        </is>
      </c>
      <c r="E10" s="19" t="inlineStr">
        <is>
          <t>Ja</t>
        </is>
      </c>
      <c r="F10" s="19" t="inlineStr">
        <is>
          <t>In najaar blad tot net boven de grond afknippen</t>
        </is>
      </c>
    </row>
    <row r="11">
      <c r="A11" s="13" t="n"/>
      <c r="B11" s="13" t="n"/>
      <c r="C11" s="13" t="n"/>
      <c r="D11" s="13" t="n"/>
      <c r="E11" s="13" t="n"/>
      <c r="F11" s="13" t="n"/>
    </row>
    <row r="12">
      <c r="A12" s="13" t="n"/>
      <c r="B12" s="13" t="n"/>
      <c r="C12" s="13" t="n"/>
      <c r="D12" s="13" t="n"/>
      <c r="E12" s="13" t="n"/>
      <c r="F12" s="13" t="n"/>
    </row>
    <row r="13">
      <c r="A13" s="13" t="n"/>
      <c r="B13" s="13" t="n"/>
      <c r="C13" s="13" t="n"/>
      <c r="D13" s="13" t="n"/>
      <c r="E13" s="13" t="n"/>
      <c r="F13" s="13" t="n"/>
    </row>
    <row r="14">
      <c r="A14" s="13" t="n"/>
      <c r="B14" s="13" t="n"/>
      <c r="C14" s="13" t="n"/>
      <c r="D14" s="13" t="n"/>
      <c r="E14" s="13" t="n"/>
      <c r="F14" s="13" t="n"/>
    </row>
    <row r="15">
      <c r="A15" s="13" t="n"/>
      <c r="B15" s="13" t="n"/>
      <c r="C15" s="13" t="n"/>
      <c r="D15" s="13" t="n"/>
      <c r="E15" s="13" t="n"/>
      <c r="F15" s="13" t="n"/>
    </row>
    <row r="16">
      <c r="A16" s="13" t="n"/>
      <c r="B16" s="13" t="n"/>
      <c r="C16" s="13" t="n"/>
      <c r="D16" s="13" t="n"/>
      <c r="E16" s="13" t="n"/>
      <c r="F16" s="13" t="n"/>
    </row>
    <row r="17">
      <c r="A17" s="13" t="n"/>
      <c r="B17" s="13" t="n"/>
      <c r="C17" s="13" t="n"/>
      <c r="D17" s="13" t="n"/>
      <c r="E17" s="13" t="n"/>
      <c r="F17" s="13" t="n"/>
    </row>
    <row r="18">
      <c r="A18" s="13" t="n"/>
      <c r="B18" s="13" t="n"/>
      <c r="C18" s="13" t="n"/>
      <c r="D18" s="13" t="n"/>
      <c r="E18" s="13" t="n"/>
      <c r="F18" s="13" t="n"/>
    </row>
    <row r="19">
      <c r="A19" s="13" t="n"/>
      <c r="B19" s="13" t="n"/>
      <c r="C19" s="13" t="n"/>
      <c r="D19" s="13" t="n"/>
      <c r="E19" s="13" t="n"/>
      <c r="F19" s="13" t="n"/>
    </row>
    <row r="20">
      <c r="A20" s="13" t="n"/>
      <c r="B20" s="13" t="n"/>
      <c r="C20" s="13" t="n"/>
      <c r="D20" s="13" t="n"/>
      <c r="E20" s="13" t="n"/>
      <c r="F20" s="13" t="n"/>
    </row>
    <row r="21">
      <c r="A21" s="13" t="n"/>
      <c r="B21" s="13" t="n"/>
      <c r="C21" s="13" t="n"/>
      <c r="D21" s="13" t="n"/>
      <c r="E21" s="13" t="n"/>
      <c r="F21" s="13" t="n"/>
    </row>
    <row r="22">
      <c r="A22" s="13" t="n"/>
      <c r="B22" s="13" t="n"/>
      <c r="C22" s="13" t="n"/>
      <c r="D22" s="13" t="n"/>
      <c r="E22" s="13" t="n"/>
      <c r="F22" s="13" t="n"/>
    </row>
    <row r="23">
      <c r="A23" s="13" t="n"/>
      <c r="B23" s="13" t="n"/>
      <c r="C23" s="13" t="n"/>
      <c r="D23" s="13" t="n"/>
      <c r="E23" s="13" t="n"/>
      <c r="F23" s="13" t="n"/>
    </row>
    <row r="24">
      <c r="A24" s="13" t="n"/>
      <c r="B24" s="13" t="n"/>
      <c r="C24" s="13" t="n"/>
      <c r="D24" s="13" t="n"/>
      <c r="E24" s="13" t="n"/>
      <c r="F24" s="13" t="n"/>
    </row>
    <row r="25">
      <c r="A25" s="13" t="n"/>
      <c r="B25" s="13" t="n"/>
      <c r="C25" s="13" t="n"/>
      <c r="D25" s="13" t="n"/>
      <c r="E25" s="13" t="n"/>
      <c r="F25" s="13" t="n"/>
    </row>
    <row r="26">
      <c r="A26" s="13" t="n"/>
      <c r="B26" s="13" t="n"/>
      <c r="C26" s="13" t="n"/>
      <c r="D26" s="13" t="n"/>
      <c r="E26" s="13" t="n"/>
      <c r="F26" s="13" t="n"/>
    </row>
    <row r="27">
      <c r="A27" s="13" t="n"/>
      <c r="B27" s="13" t="n"/>
      <c r="C27" s="13" t="n"/>
      <c r="D27" s="13" t="n"/>
      <c r="E27" s="13" t="n"/>
      <c r="F27" s="13" t="n"/>
    </row>
    <row r="28">
      <c r="A28" s="13" t="n"/>
      <c r="B28" s="13" t="n"/>
      <c r="C28" s="13" t="n"/>
      <c r="D28" s="13" t="n"/>
      <c r="E28" s="13" t="n"/>
      <c r="F28" s="13" t="n"/>
    </row>
    <row r="29">
      <c r="A29" s="13" t="n"/>
      <c r="B29" s="13" t="n"/>
      <c r="C29" s="13" t="n"/>
      <c r="D29" s="13" t="n"/>
      <c r="E29" s="13" t="n"/>
      <c r="F29" s="13" t="n"/>
    </row>
    <row r="30">
      <c r="A30" s="13" t="n"/>
      <c r="B30" s="13" t="n"/>
      <c r="C30" s="13" t="n"/>
      <c r="D30" s="13" t="n"/>
      <c r="E30" s="13" t="n"/>
      <c r="F30" s="13" t="n"/>
    </row>
    <row r="31">
      <c r="A31" s="13" t="n"/>
      <c r="B31" s="13" t="n"/>
      <c r="C31" s="13" t="n"/>
      <c r="D31" s="13" t="n"/>
      <c r="E31" s="13" t="n"/>
      <c r="F31" s="13" t="n"/>
    </row>
    <row r="32">
      <c r="A32" s="13" t="n"/>
      <c r="B32" s="13" t="n"/>
      <c r="C32" s="13" t="n"/>
      <c r="D32" s="13" t="n"/>
      <c r="E32" s="13" t="n"/>
      <c r="F32" s="13" t="n"/>
    </row>
    <row r="33">
      <c r="A33" s="13" t="n"/>
      <c r="B33" s="13" t="n"/>
      <c r="C33" s="13" t="n"/>
      <c r="D33" s="13" t="n"/>
      <c r="E33" s="13" t="n"/>
      <c r="F33" s="13" t="n"/>
    </row>
    <row r="34">
      <c r="A34" s="13" t="n"/>
      <c r="B34" s="13" t="n"/>
      <c r="C34" s="13" t="n"/>
      <c r="D34" s="13" t="n"/>
      <c r="E34" s="13" t="n"/>
      <c r="F34" s="13" t="n"/>
    </row>
    <row r="35">
      <c r="A35" s="13" t="n"/>
      <c r="B35" s="13" t="n"/>
      <c r="C35" s="13" t="n"/>
      <c r="D35" s="13" t="n"/>
      <c r="E35" s="13" t="n"/>
      <c r="F35" s="13" t="n"/>
    </row>
  </sheetData>
  <mergeCells count="2">
    <mergeCell ref="A2:F2"/>
    <mergeCell ref="A1:F1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Rapportage en planning</t>
        </is>
      </c>
    </row>
    <row r="2">
      <c r="A2" s="2" t="inlineStr">
        <is>
          <t>Maandelijkse samenvatting op basis van de Takenlijst.</t>
        </is>
      </c>
    </row>
    <row r="4">
      <c r="A4" s="20" t="inlineStr">
        <is>
          <t>Maand</t>
        </is>
      </c>
      <c r="B4" s="20" t="inlineStr">
        <is>
          <t>Totaal</t>
        </is>
      </c>
      <c r="C4" s="20" t="inlineStr">
        <is>
          <t>Open</t>
        </is>
      </c>
      <c r="D4" s="20" t="inlineStr">
        <is>
          <t>Gereed</t>
        </is>
      </c>
      <c r="E4" s="20" t="inlineStr">
        <is>
          <t>Snoeien</t>
        </is>
      </c>
      <c r="F4" s="20" t="inlineStr">
        <is>
          <t>Bemesten</t>
        </is>
      </c>
      <c r="G4" s="20" t="inlineStr">
        <is>
          <t>Onderhoud</t>
        </is>
      </c>
      <c r="H4" s="20" t="inlineStr">
        <is>
          <t>Beschermen</t>
        </is>
      </c>
    </row>
    <row r="5">
      <c r="A5" s="16" t="inlineStr">
        <is>
          <t>Januari</t>
        </is>
      </c>
      <c r="B5" s="16">
        <f>COUNTIF(Takenlijst!$C$5:$C$204,$A5)</f>
        <v/>
      </c>
      <c r="C5" s="16">
        <f>COUNTIFS(Takenlijst!$C$5:$C$204,$A5,Takenlijst!$H$5:$H$204,"Open")</f>
        <v/>
      </c>
      <c r="D5" s="16">
        <f>COUNTIFS(Takenlijst!$C$5:$C$204,$A5,Takenlijst!$H$5:$H$204,"Gereed")</f>
        <v/>
      </c>
      <c r="E5" s="16">
        <f>COUNTIFS(Takenlijst!$C$5:$C$204,$A5,Takenlijst!$E$5:$E$204,"Snoeien")</f>
        <v/>
      </c>
      <c r="F5" s="16">
        <f>COUNTIFS(Takenlijst!$C$5:$C$204,$A5,Takenlijst!$E$5:$E$204,"Bemesten")</f>
        <v/>
      </c>
      <c r="G5" s="16">
        <f>COUNTIFS(Takenlijst!$C$5:$C$204,$A5,Takenlijst!$E$5:$E$204,"Onderhoud")</f>
        <v/>
      </c>
      <c r="H5" s="16">
        <f>COUNTIFS(Takenlijst!$C$5:$C$204,$A5,Takenlijst!$E$5:$E$204,"Beschermen")</f>
        <v/>
      </c>
    </row>
    <row r="6">
      <c r="A6" s="16" t="inlineStr">
        <is>
          <t>Februari</t>
        </is>
      </c>
      <c r="B6" s="16">
        <f>COUNTIF(Takenlijst!$C$5:$C$204,$A6)</f>
        <v/>
      </c>
      <c r="C6" s="16">
        <f>COUNTIFS(Takenlijst!$C$5:$C$204,$A6,Takenlijst!$H$5:$H$204,"Open")</f>
        <v/>
      </c>
      <c r="D6" s="16">
        <f>COUNTIFS(Takenlijst!$C$5:$C$204,$A6,Takenlijst!$H$5:$H$204,"Gereed")</f>
        <v/>
      </c>
      <c r="E6" s="16">
        <f>COUNTIFS(Takenlijst!$C$5:$C$204,$A6,Takenlijst!$E$5:$E$204,"Snoeien")</f>
        <v/>
      </c>
      <c r="F6" s="16">
        <f>COUNTIFS(Takenlijst!$C$5:$C$204,$A6,Takenlijst!$E$5:$E$204,"Bemesten")</f>
        <v/>
      </c>
      <c r="G6" s="16">
        <f>COUNTIFS(Takenlijst!$C$5:$C$204,$A6,Takenlijst!$E$5:$E$204,"Onderhoud")</f>
        <v/>
      </c>
      <c r="H6" s="16">
        <f>COUNTIFS(Takenlijst!$C$5:$C$204,$A6,Takenlijst!$E$5:$E$204,"Beschermen")</f>
        <v/>
      </c>
    </row>
    <row r="7">
      <c r="A7" s="16" t="inlineStr">
        <is>
          <t>Maart</t>
        </is>
      </c>
      <c r="B7" s="16">
        <f>COUNTIF(Takenlijst!$C$5:$C$204,$A7)</f>
        <v/>
      </c>
      <c r="C7" s="16">
        <f>COUNTIFS(Takenlijst!$C$5:$C$204,$A7,Takenlijst!$H$5:$H$204,"Open")</f>
        <v/>
      </c>
      <c r="D7" s="16">
        <f>COUNTIFS(Takenlijst!$C$5:$C$204,$A7,Takenlijst!$H$5:$H$204,"Gereed")</f>
        <v/>
      </c>
      <c r="E7" s="16">
        <f>COUNTIFS(Takenlijst!$C$5:$C$204,$A7,Takenlijst!$E$5:$E$204,"Snoeien")</f>
        <v/>
      </c>
      <c r="F7" s="16">
        <f>COUNTIFS(Takenlijst!$C$5:$C$204,$A7,Takenlijst!$E$5:$E$204,"Bemesten")</f>
        <v/>
      </c>
      <c r="G7" s="16">
        <f>COUNTIFS(Takenlijst!$C$5:$C$204,$A7,Takenlijst!$E$5:$E$204,"Onderhoud")</f>
        <v/>
      </c>
      <c r="H7" s="16">
        <f>COUNTIFS(Takenlijst!$C$5:$C$204,$A7,Takenlijst!$E$5:$E$204,"Beschermen")</f>
        <v/>
      </c>
    </row>
    <row r="8">
      <c r="A8" s="16" t="inlineStr">
        <is>
          <t>April</t>
        </is>
      </c>
      <c r="B8" s="16">
        <f>COUNTIF(Takenlijst!$C$5:$C$204,$A8)</f>
        <v/>
      </c>
      <c r="C8" s="16">
        <f>COUNTIFS(Takenlijst!$C$5:$C$204,$A8,Takenlijst!$H$5:$H$204,"Open")</f>
        <v/>
      </c>
      <c r="D8" s="16">
        <f>COUNTIFS(Takenlijst!$C$5:$C$204,$A8,Takenlijst!$H$5:$H$204,"Gereed")</f>
        <v/>
      </c>
      <c r="E8" s="16">
        <f>COUNTIFS(Takenlijst!$C$5:$C$204,$A8,Takenlijst!$E$5:$E$204,"Snoeien")</f>
        <v/>
      </c>
      <c r="F8" s="16">
        <f>COUNTIFS(Takenlijst!$C$5:$C$204,$A8,Takenlijst!$E$5:$E$204,"Bemesten")</f>
        <v/>
      </c>
      <c r="G8" s="16">
        <f>COUNTIFS(Takenlijst!$C$5:$C$204,$A8,Takenlijst!$E$5:$E$204,"Onderhoud")</f>
        <v/>
      </c>
      <c r="H8" s="16">
        <f>COUNTIFS(Takenlijst!$C$5:$C$204,$A8,Takenlijst!$E$5:$E$204,"Beschermen")</f>
        <v/>
      </c>
    </row>
    <row r="9">
      <c r="A9" s="16" t="inlineStr">
        <is>
          <t>Mei</t>
        </is>
      </c>
      <c r="B9" s="16">
        <f>COUNTIF(Takenlijst!$C$5:$C$204,$A9)</f>
        <v/>
      </c>
      <c r="C9" s="16">
        <f>COUNTIFS(Takenlijst!$C$5:$C$204,$A9,Takenlijst!$H$5:$H$204,"Open")</f>
        <v/>
      </c>
      <c r="D9" s="16">
        <f>COUNTIFS(Takenlijst!$C$5:$C$204,$A9,Takenlijst!$H$5:$H$204,"Gereed")</f>
        <v/>
      </c>
      <c r="E9" s="16">
        <f>COUNTIFS(Takenlijst!$C$5:$C$204,$A9,Takenlijst!$E$5:$E$204,"Snoeien")</f>
        <v/>
      </c>
      <c r="F9" s="16">
        <f>COUNTIFS(Takenlijst!$C$5:$C$204,$A9,Takenlijst!$E$5:$E$204,"Bemesten")</f>
        <v/>
      </c>
      <c r="G9" s="16">
        <f>COUNTIFS(Takenlijst!$C$5:$C$204,$A9,Takenlijst!$E$5:$E$204,"Onderhoud")</f>
        <v/>
      </c>
      <c r="H9" s="16">
        <f>COUNTIFS(Takenlijst!$C$5:$C$204,$A9,Takenlijst!$E$5:$E$204,"Beschermen")</f>
        <v/>
      </c>
    </row>
    <row r="10">
      <c r="A10" s="16" t="inlineStr">
        <is>
          <t>Juni</t>
        </is>
      </c>
      <c r="B10" s="16">
        <f>COUNTIF(Takenlijst!$C$5:$C$204,$A10)</f>
        <v/>
      </c>
      <c r="C10" s="16">
        <f>COUNTIFS(Takenlijst!$C$5:$C$204,$A10,Takenlijst!$H$5:$H$204,"Open")</f>
        <v/>
      </c>
      <c r="D10" s="16">
        <f>COUNTIFS(Takenlijst!$C$5:$C$204,$A10,Takenlijst!$H$5:$H$204,"Gereed")</f>
        <v/>
      </c>
      <c r="E10" s="16">
        <f>COUNTIFS(Takenlijst!$C$5:$C$204,$A10,Takenlijst!$E$5:$E$204,"Snoeien")</f>
        <v/>
      </c>
      <c r="F10" s="16">
        <f>COUNTIFS(Takenlijst!$C$5:$C$204,$A10,Takenlijst!$E$5:$E$204,"Bemesten")</f>
        <v/>
      </c>
      <c r="G10" s="16">
        <f>COUNTIFS(Takenlijst!$C$5:$C$204,$A10,Takenlijst!$E$5:$E$204,"Onderhoud")</f>
        <v/>
      </c>
      <c r="H10" s="16">
        <f>COUNTIFS(Takenlijst!$C$5:$C$204,$A10,Takenlijst!$E$5:$E$204,"Beschermen")</f>
        <v/>
      </c>
    </row>
    <row r="11">
      <c r="A11" s="16" t="inlineStr">
        <is>
          <t>Juli</t>
        </is>
      </c>
      <c r="B11" s="16">
        <f>COUNTIF(Takenlijst!$C$5:$C$204,$A11)</f>
        <v/>
      </c>
      <c r="C11" s="16">
        <f>COUNTIFS(Takenlijst!$C$5:$C$204,$A11,Takenlijst!$H$5:$H$204,"Open")</f>
        <v/>
      </c>
      <c r="D11" s="16">
        <f>COUNTIFS(Takenlijst!$C$5:$C$204,$A11,Takenlijst!$H$5:$H$204,"Gereed")</f>
        <v/>
      </c>
      <c r="E11" s="16">
        <f>COUNTIFS(Takenlijst!$C$5:$C$204,$A11,Takenlijst!$E$5:$E$204,"Snoeien")</f>
        <v/>
      </c>
      <c r="F11" s="16">
        <f>COUNTIFS(Takenlijst!$C$5:$C$204,$A11,Takenlijst!$E$5:$E$204,"Bemesten")</f>
        <v/>
      </c>
      <c r="G11" s="16">
        <f>COUNTIFS(Takenlijst!$C$5:$C$204,$A11,Takenlijst!$E$5:$E$204,"Onderhoud")</f>
        <v/>
      </c>
      <c r="H11" s="16">
        <f>COUNTIFS(Takenlijst!$C$5:$C$204,$A11,Takenlijst!$E$5:$E$204,"Beschermen")</f>
        <v/>
      </c>
    </row>
    <row r="12">
      <c r="A12" s="16" t="inlineStr">
        <is>
          <t>Augustus</t>
        </is>
      </c>
      <c r="B12" s="16">
        <f>COUNTIF(Takenlijst!$C$5:$C$204,$A12)</f>
        <v/>
      </c>
      <c r="C12" s="16">
        <f>COUNTIFS(Takenlijst!$C$5:$C$204,$A12,Takenlijst!$H$5:$H$204,"Open")</f>
        <v/>
      </c>
      <c r="D12" s="16">
        <f>COUNTIFS(Takenlijst!$C$5:$C$204,$A12,Takenlijst!$H$5:$H$204,"Gereed")</f>
        <v/>
      </c>
      <c r="E12" s="16">
        <f>COUNTIFS(Takenlijst!$C$5:$C$204,$A12,Takenlijst!$E$5:$E$204,"Snoeien")</f>
        <v/>
      </c>
      <c r="F12" s="16">
        <f>COUNTIFS(Takenlijst!$C$5:$C$204,$A12,Takenlijst!$E$5:$E$204,"Bemesten")</f>
        <v/>
      </c>
      <c r="G12" s="16">
        <f>COUNTIFS(Takenlijst!$C$5:$C$204,$A12,Takenlijst!$E$5:$E$204,"Onderhoud")</f>
        <v/>
      </c>
      <c r="H12" s="16">
        <f>COUNTIFS(Takenlijst!$C$5:$C$204,$A12,Takenlijst!$E$5:$E$204,"Beschermen")</f>
        <v/>
      </c>
    </row>
    <row r="13">
      <c r="A13" s="16" t="inlineStr">
        <is>
          <t>September</t>
        </is>
      </c>
      <c r="B13" s="16">
        <f>COUNTIF(Takenlijst!$C$5:$C$204,$A13)</f>
        <v/>
      </c>
      <c r="C13" s="16">
        <f>COUNTIFS(Takenlijst!$C$5:$C$204,$A13,Takenlijst!$H$5:$H$204,"Open")</f>
        <v/>
      </c>
      <c r="D13" s="16">
        <f>COUNTIFS(Takenlijst!$C$5:$C$204,$A13,Takenlijst!$H$5:$H$204,"Gereed")</f>
        <v/>
      </c>
      <c r="E13" s="16">
        <f>COUNTIFS(Takenlijst!$C$5:$C$204,$A13,Takenlijst!$E$5:$E$204,"Snoeien")</f>
        <v/>
      </c>
      <c r="F13" s="16">
        <f>COUNTIFS(Takenlijst!$C$5:$C$204,$A13,Takenlijst!$E$5:$E$204,"Bemesten")</f>
        <v/>
      </c>
      <c r="G13" s="16">
        <f>COUNTIFS(Takenlijst!$C$5:$C$204,$A13,Takenlijst!$E$5:$E$204,"Onderhoud")</f>
        <v/>
      </c>
      <c r="H13" s="16">
        <f>COUNTIFS(Takenlijst!$C$5:$C$204,$A13,Takenlijst!$E$5:$E$204,"Beschermen")</f>
        <v/>
      </c>
    </row>
    <row r="14">
      <c r="A14" s="16" t="inlineStr">
        <is>
          <t>Oktober</t>
        </is>
      </c>
      <c r="B14" s="16">
        <f>COUNTIF(Takenlijst!$C$5:$C$204,$A14)</f>
        <v/>
      </c>
      <c r="C14" s="16">
        <f>COUNTIFS(Takenlijst!$C$5:$C$204,$A14,Takenlijst!$H$5:$H$204,"Open")</f>
        <v/>
      </c>
      <c r="D14" s="16">
        <f>COUNTIFS(Takenlijst!$C$5:$C$204,$A14,Takenlijst!$H$5:$H$204,"Gereed")</f>
        <v/>
      </c>
      <c r="E14" s="16">
        <f>COUNTIFS(Takenlijst!$C$5:$C$204,$A14,Takenlijst!$E$5:$E$204,"Snoeien")</f>
        <v/>
      </c>
      <c r="F14" s="16">
        <f>COUNTIFS(Takenlijst!$C$5:$C$204,$A14,Takenlijst!$E$5:$E$204,"Bemesten")</f>
        <v/>
      </c>
      <c r="G14" s="16">
        <f>COUNTIFS(Takenlijst!$C$5:$C$204,$A14,Takenlijst!$E$5:$E$204,"Onderhoud")</f>
        <v/>
      </c>
      <c r="H14" s="16">
        <f>COUNTIFS(Takenlijst!$C$5:$C$204,$A14,Takenlijst!$E$5:$E$204,"Beschermen")</f>
        <v/>
      </c>
    </row>
    <row r="15">
      <c r="A15" s="16" t="inlineStr">
        <is>
          <t>November</t>
        </is>
      </c>
      <c r="B15" s="16">
        <f>COUNTIF(Takenlijst!$C$5:$C$204,$A15)</f>
        <v/>
      </c>
      <c r="C15" s="16">
        <f>COUNTIFS(Takenlijst!$C$5:$C$204,$A15,Takenlijst!$H$5:$H$204,"Open")</f>
        <v/>
      </c>
      <c r="D15" s="16">
        <f>COUNTIFS(Takenlijst!$C$5:$C$204,$A15,Takenlijst!$H$5:$H$204,"Gereed")</f>
        <v/>
      </c>
      <c r="E15" s="16">
        <f>COUNTIFS(Takenlijst!$C$5:$C$204,$A15,Takenlijst!$E$5:$E$204,"Snoeien")</f>
        <v/>
      </c>
      <c r="F15" s="16">
        <f>COUNTIFS(Takenlijst!$C$5:$C$204,$A15,Takenlijst!$E$5:$E$204,"Bemesten")</f>
        <v/>
      </c>
      <c r="G15" s="16">
        <f>COUNTIFS(Takenlijst!$C$5:$C$204,$A15,Takenlijst!$E$5:$E$204,"Onderhoud")</f>
        <v/>
      </c>
      <c r="H15" s="16">
        <f>COUNTIFS(Takenlijst!$C$5:$C$204,$A15,Takenlijst!$E$5:$E$204,"Beschermen")</f>
        <v/>
      </c>
    </row>
    <row r="16">
      <c r="A16" s="16" t="inlineStr">
        <is>
          <t>December</t>
        </is>
      </c>
      <c r="B16" s="16">
        <f>COUNTIF(Takenlijst!$C$5:$C$204,$A16)</f>
        <v/>
      </c>
      <c r="C16" s="16">
        <f>COUNTIFS(Takenlijst!$C$5:$C$204,$A16,Takenlijst!$H$5:$H$204,"Open")</f>
        <v/>
      </c>
      <c r="D16" s="16">
        <f>COUNTIFS(Takenlijst!$C$5:$C$204,$A16,Takenlijst!$H$5:$H$204,"Gereed")</f>
        <v/>
      </c>
      <c r="E16" s="16">
        <f>COUNTIFS(Takenlijst!$C$5:$C$204,$A16,Takenlijst!$E$5:$E$204,"Snoeien")</f>
        <v/>
      </c>
      <c r="F16" s="16">
        <f>COUNTIFS(Takenlijst!$C$5:$C$204,$A16,Takenlijst!$E$5:$E$204,"Bemesten")</f>
        <v/>
      </c>
      <c r="G16" s="16">
        <f>COUNTIFS(Takenlijst!$C$5:$C$204,$A16,Takenlijst!$E$5:$E$204,"Onderhoud")</f>
        <v/>
      </c>
      <c r="H16" s="16">
        <f>COUNTIFS(Takenlijst!$C$5:$C$204,$A16,Takenlijst!$E$5:$E$204,"Beschermen")</f>
        <v/>
      </c>
    </row>
    <row r="18">
      <c r="A18" s="4" t="inlineStr">
        <is>
          <t>Tip</t>
        </is>
      </c>
      <c r="B18" s="2" t="inlineStr">
        <is>
          <t>Filter de Takenlijst op Status = Open om je actuele werklijst te zien.</t>
        </is>
      </c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Maanden</t>
        </is>
      </c>
      <c r="B1" t="inlineStr">
        <is>
          <t>Categorieën</t>
        </is>
      </c>
      <c r="C1" t="inlineStr">
        <is>
          <t>Prioriteiten</t>
        </is>
      </c>
      <c r="D1" t="inlineStr">
        <is>
          <t>Statussen</t>
        </is>
      </c>
      <c r="E1" t="inlineStr">
        <is>
          <t>Duur</t>
        </is>
      </c>
    </row>
    <row r="2">
      <c r="A2" t="inlineStr">
        <is>
          <t>Januari</t>
        </is>
      </c>
      <c r="B2" t="inlineStr">
        <is>
          <t>Snoeien</t>
        </is>
      </c>
      <c r="C2" t="inlineStr">
        <is>
          <t>Hoog</t>
        </is>
      </c>
      <c r="D2" t="inlineStr">
        <is>
          <t>Open</t>
        </is>
      </c>
      <c r="E2" t="inlineStr">
        <is>
          <t>5 min</t>
        </is>
      </c>
    </row>
    <row r="3">
      <c r="A3" t="inlineStr">
        <is>
          <t>Februari</t>
        </is>
      </c>
      <c r="B3" t="inlineStr">
        <is>
          <t>Bemesten</t>
        </is>
      </c>
      <c r="C3" t="inlineStr">
        <is>
          <t>Middel</t>
        </is>
      </c>
      <c r="D3" t="inlineStr">
        <is>
          <t>Gereed</t>
        </is>
      </c>
      <c r="E3" t="inlineStr">
        <is>
          <t>10 min</t>
        </is>
      </c>
    </row>
    <row r="4">
      <c r="A4" t="inlineStr">
        <is>
          <t>Maart</t>
        </is>
      </c>
      <c r="B4" t="inlineStr">
        <is>
          <t>Onderhoud</t>
        </is>
      </c>
      <c r="C4" t="inlineStr">
        <is>
          <t>Laag</t>
        </is>
      </c>
      <c r="D4" t="inlineStr">
        <is>
          <t>Uitgesteld</t>
        </is>
      </c>
      <c r="E4" t="inlineStr">
        <is>
          <t>15 min</t>
        </is>
      </c>
    </row>
    <row r="5">
      <c r="A5" t="inlineStr">
        <is>
          <t>April</t>
        </is>
      </c>
      <c r="B5" t="inlineStr">
        <is>
          <t>Beschermen</t>
        </is>
      </c>
      <c r="E5" t="inlineStr">
        <is>
          <t>30 min</t>
        </is>
      </c>
    </row>
    <row r="6">
      <c r="A6" t="inlineStr">
        <is>
          <t>Mei</t>
        </is>
      </c>
      <c r="B6" t="inlineStr">
        <is>
          <t>Verplaatsen</t>
        </is>
      </c>
      <c r="E6" t="inlineStr">
        <is>
          <t>1 uur</t>
        </is>
      </c>
    </row>
    <row r="7">
      <c r="A7" t="inlineStr">
        <is>
          <t>Juni</t>
        </is>
      </c>
      <c r="B7" t="inlineStr">
        <is>
          <t>Controle</t>
        </is>
      </c>
      <c r="E7" t="inlineStr">
        <is>
          <t>2 uur</t>
        </is>
      </c>
    </row>
    <row r="8">
      <c r="A8" t="inlineStr">
        <is>
          <t>Juli</t>
        </is>
      </c>
      <c r="B8" t="inlineStr">
        <is>
          <t>Water geven</t>
        </is>
      </c>
    </row>
    <row r="9">
      <c r="A9" t="inlineStr">
        <is>
          <t>Augustus</t>
        </is>
      </c>
      <c r="B9" t="inlineStr">
        <is>
          <t>Overwinteren</t>
        </is>
      </c>
    </row>
    <row r="10">
      <c r="A10" t="inlineStr">
        <is>
          <t>September</t>
        </is>
      </c>
    </row>
    <row r="11">
      <c r="A11" t="inlineStr">
        <is>
          <t>Oktober</t>
        </is>
      </c>
    </row>
    <row r="12">
      <c r="A12" t="inlineStr">
        <is>
          <t>November</t>
        </is>
      </c>
    </row>
    <row r="13">
      <c r="A13" t="inlineStr">
        <is>
          <t>December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2026-03-08T10:54:09Z</dcterms:created>
  <dcterms:modified xmlns:dcterms="http://purl.org/dc/terms/" xmlns:xsi="http://www.w3.org/2001/XMLSchema-instance" xsi:type="dcterms:W3CDTF">2026-03-08T10:54:09Z</dcterms:modified>
</cp:coreProperties>
</file>